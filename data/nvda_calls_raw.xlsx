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rgenstyll/Programmation/C++/Project/"/>
    </mc:Choice>
  </mc:AlternateContent>
  <xr:revisionPtr revIDLastSave="0" documentId="13_ncr:1_{AF4C241A-B59A-0844-B56A-DE577B27429A}" xr6:coauthVersionLast="47" xr6:coauthVersionMax="47" xr10:uidLastSave="{00000000-0000-0000-0000-000000000000}"/>
  <bookViews>
    <workbookView xWindow="0" yWindow="660" windowWidth="30240" windowHeight="17720" xr2:uid="{914FE351-A505-F54F-A92E-A8DE23FA127C}"/>
  </bookViews>
  <sheets>
    <sheet name="6 May" sheetId="7" r:id="rId1"/>
    <sheet name="11 May" sheetId="5" r:id="rId2"/>
    <sheet name="13 May" sheetId="2" r:id="rId3"/>
    <sheet name="15 May" sheetId="6" r:id="rId4"/>
    <sheet name="22 May" sheetId="1" r:id="rId5"/>
    <sheet name="29 May" sheetId="3" r:id="rId6"/>
    <sheet name="5 June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7" l="1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</calcChain>
</file>

<file path=xl/sharedStrings.xml><?xml version="1.0" encoding="utf-8"?>
<sst xmlns="http://schemas.openxmlformats.org/spreadsheetml/2006/main" count="70" uniqueCount="12">
  <si>
    <t>Strike</t>
  </si>
  <si>
    <t>Last Price</t>
  </si>
  <si>
    <t>Bid</t>
  </si>
  <si>
    <t>Ask</t>
  </si>
  <si>
    <t>Volume</t>
  </si>
  <si>
    <t>Open Interest</t>
  </si>
  <si>
    <t>Implied Vol</t>
  </si>
  <si>
    <t>Day until Maturity</t>
  </si>
  <si>
    <t>Days until maturity</t>
  </si>
  <si>
    <t>Days to maturity</t>
  </si>
  <si>
    <t>Collection Date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</si>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</sst>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dd/mm/yy;@"/>
    <numFmt numFmtId="169" formatCode="yyyy\-mm\-dd;@"/>
    <numFmt numFmtId="171" formatCode="d/m/yy;@"/>
    <numFmt numFmtId="172" formatCode="m/d/yyyy;@"/>
  </numFmts>
  <fonts count="8" x14ac:knownFonts="1">
    <font>
      <sz val="12"/>
      <color theme="1"/>
      <name val="Aptos Narrow"/>
      <family val="2"/>
      <scheme val="minor"/>
    </font>
    <font>
      <sz val="14"/>
      <color rgb="FF232A3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14" fontId="5" fillId="0" borderId="0" xfId="0" applyNumberFormat="1" applyFont="1"/>
    <xf numFmtId="167" fontId="1" fillId="0" borderId="0" xfId="0" applyNumberFormat="1" applyFont="1"/>
    <xf numFmtId="169" fontId="5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167" fontId="5" fillId="0" borderId="0" xfId="0" applyNumberFormat="1" applyFont="1"/>
    <xf numFmtId="169" fontId="1" fillId="0" borderId="0" xfId="0" applyNumberFormat="1" applyFont="1"/>
    <xf numFmtId="16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FC49-28F6-FF4F-ADB6-63C453A07B8C}">
  <dimension ref="A1:J154"/>
  <sheetViews>
    <sheetView tabSelected="1" zoomScale="125" workbookViewId="0">
      <selection activeCell="L7" sqref="L7"/>
    </sheetView>
  </sheetViews>
  <sheetFormatPr baseColWidth="10" defaultRowHeight="16" x14ac:dyDescent="0.2"/>
  <cols>
    <col min="1" max="1" width="15.83203125" bestFit="1" customWidth="1"/>
    <col min="6" max="6" width="16.33203125" customWidth="1"/>
    <col min="7" max="7" width="17.5" customWidth="1"/>
    <col min="8" max="8" width="19.33203125" customWidth="1"/>
    <col min="10" max="10" width="13.83203125" customWidth="1"/>
  </cols>
  <sheetData>
    <row r="1" spans="1:10" ht="18" x14ac:dyDescent="0.2">
      <c r="A1" s="8" t="s">
        <v>11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10</v>
      </c>
      <c r="H1" s="8" t="s">
        <v>7</v>
      </c>
      <c r="I1" s="11" t="s">
        <v>0</v>
      </c>
      <c r="J1" s="11" t="s">
        <v>6</v>
      </c>
    </row>
    <row r="2" spans="1:10" ht="19" x14ac:dyDescent="0.25">
      <c r="A2" s="18">
        <v>46148.441666666666</v>
      </c>
      <c r="B2" s="1">
        <v>8.9</v>
      </c>
      <c r="C2" s="1">
        <v>8.4</v>
      </c>
      <c r="D2" s="1">
        <v>8.6</v>
      </c>
      <c r="E2" s="1">
        <v>781</v>
      </c>
      <c r="F2" s="1">
        <v>416</v>
      </c>
      <c r="G2" s="12">
        <v>46147</v>
      </c>
      <c r="H2" s="8">
        <v>1</v>
      </c>
      <c r="I2" s="4">
        <v>165</v>
      </c>
      <c r="J2" s="3">
        <v>0.63870000000000005</v>
      </c>
    </row>
    <row r="3" spans="1:10" ht="19" x14ac:dyDescent="0.25">
      <c r="A3" s="18">
        <v>46148.441666666666</v>
      </c>
      <c r="B3" s="1">
        <v>6.4</v>
      </c>
      <c r="C3" s="1">
        <v>6.1</v>
      </c>
      <c r="D3" s="1">
        <v>6.2</v>
      </c>
      <c r="E3" s="1">
        <v>795</v>
      </c>
      <c r="F3" s="2">
        <v>1568</v>
      </c>
      <c r="G3" s="12">
        <v>46147</v>
      </c>
      <c r="H3" s="8">
        <v>1</v>
      </c>
      <c r="I3" s="4">
        <v>170</v>
      </c>
      <c r="J3" s="3">
        <v>0.53610000000000002</v>
      </c>
    </row>
    <row r="4" spans="1:10" ht="19" x14ac:dyDescent="0.25">
      <c r="A4" s="18">
        <v>46148.441666666666</v>
      </c>
      <c r="B4" s="1">
        <v>4.2</v>
      </c>
      <c r="C4" s="1">
        <v>4.05</v>
      </c>
      <c r="D4" s="1">
        <v>4.1500000000000004</v>
      </c>
      <c r="E4" s="2">
        <v>3862</v>
      </c>
      <c r="F4" s="2">
        <v>1884</v>
      </c>
      <c r="G4" s="12">
        <v>46147</v>
      </c>
      <c r="H4" s="8">
        <v>1</v>
      </c>
      <c r="I4" s="4">
        <v>175</v>
      </c>
      <c r="J4" s="3">
        <v>0.4788</v>
      </c>
    </row>
    <row r="5" spans="1:10" ht="19" x14ac:dyDescent="0.25">
      <c r="A5" s="18">
        <v>46148.441666666666</v>
      </c>
      <c r="B5" s="1">
        <v>2.37</v>
      </c>
      <c r="C5" s="1">
        <v>2.33</v>
      </c>
      <c r="D5" s="1">
        <v>2.35</v>
      </c>
      <c r="E5" s="2">
        <v>15981</v>
      </c>
      <c r="F5" s="2">
        <v>8399</v>
      </c>
      <c r="G5" s="12">
        <v>46147</v>
      </c>
      <c r="H5" s="8">
        <v>1</v>
      </c>
      <c r="I5" s="4">
        <v>180</v>
      </c>
      <c r="J5" s="3">
        <v>0.40970000000000001</v>
      </c>
    </row>
    <row r="6" spans="1:10" ht="19" x14ac:dyDescent="0.25">
      <c r="A6" s="18">
        <v>46148.441666666666</v>
      </c>
      <c r="B6" s="1">
        <v>1.17</v>
      </c>
      <c r="C6" s="1">
        <v>1.1599999999999999</v>
      </c>
      <c r="D6" s="1">
        <v>1.17</v>
      </c>
      <c r="E6" s="2">
        <v>70403</v>
      </c>
      <c r="F6" s="2">
        <v>14270</v>
      </c>
      <c r="G6" s="12">
        <v>46147</v>
      </c>
      <c r="H6" s="8">
        <v>1</v>
      </c>
      <c r="I6" s="4">
        <v>185</v>
      </c>
      <c r="J6" s="3">
        <v>0.37940000000000002</v>
      </c>
    </row>
    <row r="7" spans="1:10" ht="19" x14ac:dyDescent="0.25">
      <c r="A7" s="18">
        <v>46148.441666666666</v>
      </c>
      <c r="B7" s="1">
        <v>0.53</v>
      </c>
      <c r="C7" s="1">
        <v>0.52</v>
      </c>
      <c r="D7" s="1">
        <v>0.53</v>
      </c>
      <c r="E7" s="2">
        <v>43486</v>
      </c>
      <c r="F7" s="2">
        <v>12171</v>
      </c>
      <c r="G7" s="12">
        <v>46147</v>
      </c>
      <c r="H7" s="8">
        <v>1</v>
      </c>
      <c r="I7" s="4">
        <v>190</v>
      </c>
      <c r="J7" s="3">
        <v>0.37209999999999999</v>
      </c>
    </row>
    <row r="8" spans="1:10" ht="19" x14ac:dyDescent="0.25">
      <c r="A8" s="18">
        <v>46148.441666666666</v>
      </c>
      <c r="B8" s="1">
        <v>0.25</v>
      </c>
      <c r="C8" s="1">
        <v>0.24</v>
      </c>
      <c r="D8" s="1">
        <v>0.25</v>
      </c>
      <c r="E8" s="2">
        <v>28636</v>
      </c>
      <c r="F8" s="2">
        <v>18951</v>
      </c>
      <c r="G8" s="12">
        <v>46147</v>
      </c>
      <c r="H8" s="8">
        <v>1</v>
      </c>
      <c r="I8" s="4">
        <v>195</v>
      </c>
      <c r="J8" s="3">
        <v>0.38569999999999999</v>
      </c>
    </row>
    <row r="9" spans="1:10" ht="19" x14ac:dyDescent="0.25">
      <c r="A9" s="18">
        <v>46148.441666666666</v>
      </c>
      <c r="B9" s="1">
        <v>0.12</v>
      </c>
      <c r="C9" s="1">
        <v>0.12</v>
      </c>
      <c r="D9" s="1">
        <v>0.13</v>
      </c>
      <c r="E9" s="2">
        <v>8761</v>
      </c>
      <c r="F9" s="2">
        <v>4100</v>
      </c>
      <c r="G9" s="12">
        <v>46147</v>
      </c>
      <c r="H9" s="8">
        <v>1</v>
      </c>
      <c r="I9" s="4">
        <v>200</v>
      </c>
      <c r="J9" s="3">
        <v>0.41020000000000001</v>
      </c>
    </row>
    <row r="10" spans="1:10" ht="19" x14ac:dyDescent="0.25">
      <c r="A10" s="18">
        <v>46148.441666666666</v>
      </c>
      <c r="B10" s="1">
        <v>7.0000000000000007E-2</v>
      </c>
      <c r="C10" s="1">
        <v>0.06</v>
      </c>
      <c r="D10" s="1">
        <v>7.0000000000000007E-2</v>
      </c>
      <c r="E10" s="2">
        <v>9460</v>
      </c>
      <c r="F10" s="2">
        <v>14687</v>
      </c>
      <c r="G10" s="12">
        <v>46147</v>
      </c>
      <c r="H10" s="8">
        <v>1</v>
      </c>
      <c r="I10" s="4">
        <v>205</v>
      </c>
      <c r="J10" s="3">
        <v>0.43559999999999999</v>
      </c>
    </row>
    <row r="11" spans="1:10" ht="19" x14ac:dyDescent="0.25">
      <c r="A11" s="18">
        <v>46148.441666666666</v>
      </c>
      <c r="B11" s="1">
        <v>0.04</v>
      </c>
      <c r="C11" s="1">
        <v>0.03</v>
      </c>
      <c r="D11" s="1">
        <v>0.04</v>
      </c>
      <c r="E11" s="2">
        <v>2239</v>
      </c>
      <c r="F11" s="2">
        <v>2514</v>
      </c>
      <c r="G11" s="12">
        <v>46147</v>
      </c>
      <c r="H11" s="8">
        <v>1</v>
      </c>
      <c r="I11" s="4">
        <v>210</v>
      </c>
      <c r="J11" s="3">
        <v>0.46479999999999999</v>
      </c>
    </row>
    <row r="12" spans="1:10" ht="19" x14ac:dyDescent="0.25">
      <c r="A12" s="18">
        <v>46148.441666666666</v>
      </c>
      <c r="B12" s="1">
        <v>0.03</v>
      </c>
      <c r="C12" s="1">
        <v>0.02</v>
      </c>
      <c r="D12" s="1">
        <v>0.03</v>
      </c>
      <c r="E12" s="2">
        <v>1905</v>
      </c>
      <c r="F12" s="2">
        <v>10803</v>
      </c>
      <c r="G12" s="12">
        <v>46147</v>
      </c>
      <c r="H12" s="8">
        <v>1</v>
      </c>
      <c r="I12" s="4">
        <v>215</v>
      </c>
      <c r="J12" s="3">
        <v>0.50390000000000001</v>
      </c>
    </row>
    <row r="13" spans="1:10" ht="19" x14ac:dyDescent="0.25">
      <c r="A13" s="18">
        <v>46148.441666666666</v>
      </c>
      <c r="B13" s="1">
        <v>0.01</v>
      </c>
      <c r="C13" s="1">
        <v>0.01</v>
      </c>
      <c r="D13" s="1">
        <v>0.02</v>
      </c>
      <c r="E13" s="1">
        <v>619</v>
      </c>
      <c r="F13" s="2">
        <v>2140</v>
      </c>
      <c r="G13" s="12">
        <v>46147</v>
      </c>
      <c r="H13" s="8">
        <v>1</v>
      </c>
      <c r="I13" s="4">
        <v>220</v>
      </c>
      <c r="J13" s="3">
        <v>0.51559999999999995</v>
      </c>
    </row>
    <row r="14" spans="1:10" ht="19" x14ac:dyDescent="0.25">
      <c r="A14" s="18">
        <v>46148.441666666666</v>
      </c>
      <c r="B14" s="1">
        <v>0.01</v>
      </c>
      <c r="C14" s="1">
        <v>0</v>
      </c>
      <c r="D14" s="1">
        <v>0.01</v>
      </c>
      <c r="E14" s="1">
        <v>430</v>
      </c>
      <c r="F14" s="2">
        <v>4487</v>
      </c>
      <c r="G14" s="12">
        <v>46147</v>
      </c>
      <c r="H14" s="8">
        <v>1</v>
      </c>
      <c r="I14" s="4">
        <v>225</v>
      </c>
      <c r="J14" s="3">
        <v>0.51559999999999995</v>
      </c>
    </row>
    <row r="15" spans="1:10" ht="19" x14ac:dyDescent="0.25">
      <c r="A15" s="18">
        <v>46148.441666666666</v>
      </c>
      <c r="B15" s="1">
        <v>0.01</v>
      </c>
      <c r="C15" s="1">
        <v>0</v>
      </c>
      <c r="D15" s="1">
        <v>0.01</v>
      </c>
      <c r="E15" s="1">
        <v>79</v>
      </c>
      <c r="F15" s="2">
        <v>2676</v>
      </c>
      <c r="G15" s="12">
        <v>46147</v>
      </c>
      <c r="H15" s="8">
        <v>1</v>
      </c>
      <c r="I15" s="4">
        <v>235</v>
      </c>
      <c r="J15" s="3">
        <v>0.60940000000000005</v>
      </c>
    </row>
    <row r="16" spans="1:10" ht="19" x14ac:dyDescent="0.25">
      <c r="A16" s="18">
        <v>46148.441666666666</v>
      </c>
      <c r="B16" s="1">
        <v>0.01</v>
      </c>
      <c r="C16" s="1">
        <v>0</v>
      </c>
      <c r="D16" s="1">
        <v>0.01</v>
      </c>
      <c r="E16" s="1">
        <v>15</v>
      </c>
      <c r="F16" s="1">
        <v>256</v>
      </c>
      <c r="G16" s="12">
        <v>46147</v>
      </c>
      <c r="H16" s="8">
        <v>1</v>
      </c>
      <c r="I16" s="4">
        <v>240</v>
      </c>
      <c r="J16" s="3">
        <v>0.65629999999999999</v>
      </c>
    </row>
    <row r="17" spans="1:10" ht="19" x14ac:dyDescent="0.25">
      <c r="A17" s="18">
        <v>46148.441666666666</v>
      </c>
      <c r="B17" s="1">
        <v>0.01</v>
      </c>
      <c r="C17" s="1">
        <v>0</v>
      </c>
      <c r="D17" s="1">
        <v>0.01</v>
      </c>
      <c r="E17" s="1">
        <v>30</v>
      </c>
      <c r="F17" s="2">
        <v>2919</v>
      </c>
      <c r="G17" s="12">
        <v>46147</v>
      </c>
      <c r="H17" s="8">
        <v>1</v>
      </c>
      <c r="I17" s="4">
        <v>245</v>
      </c>
      <c r="J17" s="3">
        <v>0.6875</v>
      </c>
    </row>
    <row r="18" spans="1:10" ht="19" x14ac:dyDescent="0.25">
      <c r="A18" s="18">
        <v>46148.441666666666</v>
      </c>
      <c r="B18" s="1">
        <v>0.01</v>
      </c>
      <c r="C18" s="1">
        <v>0</v>
      </c>
      <c r="D18" s="1">
        <v>0.01</v>
      </c>
      <c r="E18" s="1">
        <v>104</v>
      </c>
      <c r="F18" s="1">
        <v>135</v>
      </c>
      <c r="G18" s="12">
        <v>46147</v>
      </c>
      <c r="H18" s="8">
        <v>1</v>
      </c>
      <c r="I18" s="4">
        <v>250</v>
      </c>
      <c r="J18" s="3">
        <v>0.75</v>
      </c>
    </row>
    <row r="19" spans="1:10" ht="19" x14ac:dyDescent="0.25">
      <c r="A19" s="18">
        <v>46148.441666666666</v>
      </c>
      <c r="B19" s="1">
        <v>0.01</v>
      </c>
      <c r="C19" s="1">
        <v>0</v>
      </c>
      <c r="D19" s="1">
        <v>0.01</v>
      </c>
      <c r="E19" s="1">
        <v>220</v>
      </c>
      <c r="F19" s="1">
        <v>427</v>
      </c>
      <c r="G19" s="12">
        <v>46147</v>
      </c>
      <c r="H19" s="8">
        <v>1</v>
      </c>
      <c r="I19" s="4">
        <v>260</v>
      </c>
      <c r="J19" s="3">
        <v>0.84379999999999999</v>
      </c>
    </row>
    <row r="20" spans="1:10" ht="19" x14ac:dyDescent="0.25">
      <c r="A20" s="18">
        <v>46148.441666666666</v>
      </c>
      <c r="B20" s="1">
        <v>0.01</v>
      </c>
      <c r="C20" s="1">
        <v>0</v>
      </c>
      <c r="D20" s="1">
        <v>0.01</v>
      </c>
      <c r="E20" s="1">
        <v>10</v>
      </c>
      <c r="F20" s="2">
        <v>1115</v>
      </c>
      <c r="G20" s="12">
        <v>46147</v>
      </c>
      <c r="H20" s="8">
        <v>1</v>
      </c>
      <c r="I20" s="4">
        <v>265</v>
      </c>
      <c r="J20" s="3">
        <v>0.875</v>
      </c>
    </row>
    <row r="21" spans="1:10" ht="19" x14ac:dyDescent="0.25">
      <c r="A21" s="18">
        <v>46153</v>
      </c>
      <c r="B21" s="1">
        <v>21.68</v>
      </c>
      <c r="C21" s="1">
        <v>21.8</v>
      </c>
      <c r="D21" s="1">
        <v>23.15</v>
      </c>
      <c r="E21" s="1">
        <v>166</v>
      </c>
      <c r="F21" s="1">
        <v>22</v>
      </c>
      <c r="G21" s="6">
        <v>46147</v>
      </c>
      <c r="H21" s="4">
        <f t="shared" ref="H21:H46" si="0">11-5</f>
        <v>6</v>
      </c>
      <c r="I21" s="4">
        <v>175</v>
      </c>
      <c r="J21" s="3">
        <v>0.55179999999999996</v>
      </c>
    </row>
    <row r="22" spans="1:10" ht="19" x14ac:dyDescent="0.25">
      <c r="A22" s="18">
        <v>46153</v>
      </c>
      <c r="B22" s="1">
        <v>21.15</v>
      </c>
      <c r="C22" s="1">
        <v>19.5</v>
      </c>
      <c r="D22" s="1">
        <v>20.7</v>
      </c>
      <c r="E22" s="1">
        <v>76</v>
      </c>
      <c r="F22" s="1">
        <v>32</v>
      </c>
      <c r="G22" s="6">
        <v>46147</v>
      </c>
      <c r="H22" s="4">
        <f t="shared" si="0"/>
        <v>6</v>
      </c>
      <c r="I22" s="4">
        <v>177.5</v>
      </c>
      <c r="J22" s="3">
        <v>0.53420000000000001</v>
      </c>
    </row>
    <row r="23" spans="1:10" ht="19" x14ac:dyDescent="0.25">
      <c r="A23" s="18">
        <v>46153</v>
      </c>
      <c r="B23" s="1">
        <v>19.190000000000001</v>
      </c>
      <c r="C23" s="1">
        <v>17.399999999999999</v>
      </c>
      <c r="D23" s="1">
        <v>17.95</v>
      </c>
      <c r="E23" s="1">
        <v>184</v>
      </c>
      <c r="F23" s="1">
        <v>71</v>
      </c>
      <c r="G23" s="6">
        <v>46147</v>
      </c>
      <c r="H23" s="4">
        <f t="shared" si="0"/>
        <v>6</v>
      </c>
      <c r="I23" s="4">
        <v>180</v>
      </c>
      <c r="J23" s="3">
        <v>0.55420000000000003</v>
      </c>
    </row>
    <row r="24" spans="1:10" ht="19" x14ac:dyDescent="0.25">
      <c r="A24" s="18">
        <v>46153</v>
      </c>
      <c r="B24" s="1">
        <v>13.93</v>
      </c>
      <c r="C24" s="1">
        <v>13.1</v>
      </c>
      <c r="D24" s="1">
        <v>13.25</v>
      </c>
      <c r="E24" s="1">
        <v>66</v>
      </c>
      <c r="F24" s="1">
        <v>79</v>
      </c>
      <c r="G24" s="6">
        <v>46147</v>
      </c>
      <c r="H24" s="4">
        <f t="shared" si="0"/>
        <v>6</v>
      </c>
      <c r="I24" s="4">
        <v>185</v>
      </c>
      <c r="J24" s="3">
        <v>0.47799999999999998</v>
      </c>
    </row>
    <row r="25" spans="1:10" ht="19" x14ac:dyDescent="0.25">
      <c r="A25" s="18">
        <v>46153</v>
      </c>
      <c r="B25" s="1">
        <v>6.65</v>
      </c>
      <c r="C25" s="1">
        <v>6.6</v>
      </c>
      <c r="D25" s="1">
        <v>6.75</v>
      </c>
      <c r="E25" s="1">
        <v>117</v>
      </c>
      <c r="F25" s="1">
        <v>46</v>
      </c>
      <c r="G25" s="6">
        <v>46147</v>
      </c>
      <c r="H25" s="4">
        <f t="shared" si="0"/>
        <v>6</v>
      </c>
      <c r="I25" s="4">
        <v>192.5</v>
      </c>
      <c r="J25" s="3">
        <v>0.37480000000000002</v>
      </c>
    </row>
    <row r="26" spans="1:10" ht="19" x14ac:dyDescent="0.25">
      <c r="A26" s="18">
        <v>46153</v>
      </c>
      <c r="B26" s="1">
        <v>5.0199999999999996</v>
      </c>
      <c r="C26" s="1">
        <v>4.9000000000000004</v>
      </c>
      <c r="D26" s="1">
        <v>5</v>
      </c>
      <c r="E26" s="1">
        <v>136</v>
      </c>
      <c r="F26" s="1">
        <v>329</v>
      </c>
      <c r="G26" s="6">
        <v>46147</v>
      </c>
      <c r="H26" s="4">
        <f t="shared" si="0"/>
        <v>6</v>
      </c>
      <c r="I26" s="4">
        <v>195</v>
      </c>
      <c r="J26" s="3">
        <v>0.35570000000000002</v>
      </c>
    </row>
    <row r="27" spans="1:10" ht="19" x14ac:dyDescent="0.25">
      <c r="A27" s="18">
        <v>46153</v>
      </c>
      <c r="B27" s="1">
        <v>3.5</v>
      </c>
      <c r="C27" s="1">
        <v>3.6</v>
      </c>
      <c r="D27" s="1">
        <v>3.7</v>
      </c>
      <c r="E27" s="1">
        <v>909</v>
      </c>
      <c r="F27" s="1">
        <v>677</v>
      </c>
      <c r="G27" s="6">
        <v>46147</v>
      </c>
      <c r="H27" s="4">
        <f t="shared" si="0"/>
        <v>6</v>
      </c>
      <c r="I27" s="4">
        <v>197.5</v>
      </c>
      <c r="J27" s="3">
        <v>0.35709999999999997</v>
      </c>
    </row>
    <row r="28" spans="1:10" ht="19" x14ac:dyDescent="0.25">
      <c r="A28" s="18">
        <v>46153</v>
      </c>
      <c r="B28" s="1">
        <v>2.2799999999999998</v>
      </c>
      <c r="C28" s="1">
        <v>2.34</v>
      </c>
      <c r="D28" s="1">
        <v>2.37</v>
      </c>
      <c r="E28" s="2">
        <v>3578</v>
      </c>
      <c r="F28" s="2">
        <v>1906</v>
      </c>
      <c r="G28" s="6">
        <v>46147</v>
      </c>
      <c r="H28" s="4">
        <f t="shared" si="0"/>
        <v>6</v>
      </c>
      <c r="I28" s="4">
        <v>200</v>
      </c>
      <c r="J28" s="3">
        <v>0.33129999999999998</v>
      </c>
    </row>
    <row r="29" spans="1:10" ht="19" x14ac:dyDescent="0.25">
      <c r="A29" s="18">
        <v>46153</v>
      </c>
      <c r="B29" s="1">
        <v>1.47</v>
      </c>
      <c r="C29" s="1">
        <v>1.57</v>
      </c>
      <c r="D29" s="1">
        <v>1.59</v>
      </c>
      <c r="E29" s="2">
        <v>2397</v>
      </c>
      <c r="F29" s="2">
        <v>1341</v>
      </c>
      <c r="G29" s="6">
        <v>46147</v>
      </c>
      <c r="H29" s="4">
        <f t="shared" si="0"/>
        <v>6</v>
      </c>
      <c r="I29" s="4">
        <v>202.5</v>
      </c>
      <c r="J29" s="3">
        <v>0.33279999999999998</v>
      </c>
    </row>
    <row r="30" spans="1:10" ht="19" x14ac:dyDescent="0.25">
      <c r="A30" s="18">
        <v>46153</v>
      </c>
      <c r="B30" s="1">
        <v>0.94</v>
      </c>
      <c r="C30" s="1">
        <v>0.97</v>
      </c>
      <c r="D30" s="1">
        <v>0.99</v>
      </c>
      <c r="E30" s="2">
        <v>2230</v>
      </c>
      <c r="F30" s="2">
        <v>2871</v>
      </c>
      <c r="G30" s="6">
        <v>46147</v>
      </c>
      <c r="H30" s="4">
        <f t="shared" si="0"/>
        <v>6</v>
      </c>
      <c r="I30" s="4">
        <v>205</v>
      </c>
      <c r="J30" s="3">
        <v>0.32940000000000003</v>
      </c>
    </row>
    <row r="31" spans="1:10" ht="19" x14ac:dyDescent="0.25">
      <c r="A31" s="18">
        <v>46153</v>
      </c>
      <c r="B31" s="1">
        <v>0.59</v>
      </c>
      <c r="C31" s="1">
        <v>0.57999999999999996</v>
      </c>
      <c r="D31" s="1">
        <v>0.6</v>
      </c>
      <c r="E31" s="1">
        <v>442</v>
      </c>
      <c r="F31" s="1">
        <v>674</v>
      </c>
      <c r="G31" s="6">
        <v>46147</v>
      </c>
      <c r="H31" s="4">
        <f t="shared" si="0"/>
        <v>6</v>
      </c>
      <c r="I31" s="4">
        <v>207.5</v>
      </c>
      <c r="J31" s="3">
        <v>0.3291</v>
      </c>
    </row>
    <row r="32" spans="1:10" ht="19" x14ac:dyDescent="0.25">
      <c r="A32" s="18">
        <v>46153</v>
      </c>
      <c r="B32" s="1">
        <v>0.37</v>
      </c>
      <c r="C32" s="1">
        <v>0.38</v>
      </c>
      <c r="D32" s="1">
        <v>0.39</v>
      </c>
      <c r="E32" s="2">
        <v>1899</v>
      </c>
      <c r="F32" s="2">
        <v>2858</v>
      </c>
      <c r="G32" s="6">
        <v>46147</v>
      </c>
      <c r="H32" s="4">
        <f t="shared" si="0"/>
        <v>6</v>
      </c>
      <c r="I32" s="4">
        <v>210</v>
      </c>
      <c r="J32" s="3">
        <v>0.33889999999999998</v>
      </c>
    </row>
    <row r="33" spans="1:10" ht="19" x14ac:dyDescent="0.25">
      <c r="A33" s="18">
        <v>46153</v>
      </c>
      <c r="B33" s="1">
        <v>0.25</v>
      </c>
      <c r="C33" s="1">
        <v>0.25</v>
      </c>
      <c r="D33" s="1">
        <v>0.26</v>
      </c>
      <c r="E33" s="1">
        <v>819</v>
      </c>
      <c r="F33" s="1">
        <v>867</v>
      </c>
      <c r="G33" s="6">
        <v>46147</v>
      </c>
      <c r="H33" s="4">
        <f t="shared" si="0"/>
        <v>6</v>
      </c>
      <c r="I33" s="4">
        <v>212.5</v>
      </c>
      <c r="J33" s="3">
        <v>0.35060000000000002</v>
      </c>
    </row>
    <row r="34" spans="1:10" ht="19" x14ac:dyDescent="0.25">
      <c r="A34" s="18">
        <v>46153</v>
      </c>
      <c r="B34" s="1">
        <v>0.17</v>
      </c>
      <c r="C34" s="1">
        <v>0.17</v>
      </c>
      <c r="D34" s="1">
        <v>0.18</v>
      </c>
      <c r="E34" s="2">
        <v>1625</v>
      </c>
      <c r="F34" s="2">
        <v>5039</v>
      </c>
      <c r="G34" s="6">
        <v>46147</v>
      </c>
      <c r="H34" s="4">
        <f t="shared" si="0"/>
        <v>6</v>
      </c>
      <c r="I34" s="4">
        <v>215</v>
      </c>
      <c r="J34" s="3">
        <v>0.36430000000000001</v>
      </c>
    </row>
    <row r="35" spans="1:10" ht="19" x14ac:dyDescent="0.25">
      <c r="A35" s="18">
        <v>46153</v>
      </c>
      <c r="B35" s="1">
        <v>0.14000000000000001</v>
      </c>
      <c r="C35" s="1">
        <v>0.12</v>
      </c>
      <c r="D35" s="1">
        <v>0.15</v>
      </c>
      <c r="E35" s="1">
        <v>66</v>
      </c>
      <c r="F35" s="1">
        <v>126</v>
      </c>
      <c r="G35" s="6">
        <v>46147</v>
      </c>
      <c r="H35" s="4">
        <f t="shared" si="0"/>
        <v>6</v>
      </c>
      <c r="I35" s="4">
        <v>217.5</v>
      </c>
      <c r="J35" s="3">
        <v>0.38969999999999999</v>
      </c>
    </row>
    <row r="36" spans="1:10" ht="19" x14ac:dyDescent="0.25">
      <c r="A36" s="18">
        <v>46153</v>
      </c>
      <c r="B36" s="1">
        <v>0.11</v>
      </c>
      <c r="C36" s="1">
        <v>0.1</v>
      </c>
      <c r="D36" s="1">
        <v>0.11</v>
      </c>
      <c r="E36" s="1">
        <v>454</v>
      </c>
      <c r="F36" s="2">
        <v>1930</v>
      </c>
      <c r="G36" s="6">
        <v>46147</v>
      </c>
      <c r="H36" s="4">
        <f t="shared" si="0"/>
        <v>6</v>
      </c>
      <c r="I36" s="4">
        <v>220</v>
      </c>
      <c r="J36" s="3">
        <v>0.40429999999999999</v>
      </c>
    </row>
    <row r="37" spans="1:10" ht="19" x14ac:dyDescent="0.25">
      <c r="A37" s="18">
        <v>46153</v>
      </c>
      <c r="B37" s="1">
        <v>0.09</v>
      </c>
      <c r="C37" s="1">
        <v>7.0000000000000007E-2</v>
      </c>
      <c r="D37" s="1">
        <v>0.08</v>
      </c>
      <c r="E37" s="1">
        <v>35</v>
      </c>
      <c r="F37" s="1">
        <v>77</v>
      </c>
      <c r="G37" s="6">
        <v>46147</v>
      </c>
      <c r="H37" s="4">
        <f t="shared" si="0"/>
        <v>6</v>
      </c>
      <c r="I37" s="4">
        <v>222.5</v>
      </c>
      <c r="J37" s="3">
        <v>0.41799999999999998</v>
      </c>
    </row>
    <row r="38" spans="1:10" ht="19" x14ac:dyDescent="0.25">
      <c r="A38" s="18">
        <v>46153</v>
      </c>
      <c r="B38" s="1">
        <v>0.06</v>
      </c>
      <c r="C38" s="1">
        <v>0.05</v>
      </c>
      <c r="D38" s="1">
        <v>0.06</v>
      </c>
      <c r="E38" s="1">
        <v>69</v>
      </c>
      <c r="F38" s="1">
        <v>968</v>
      </c>
      <c r="G38" s="6">
        <v>46147</v>
      </c>
      <c r="H38" s="4">
        <f t="shared" si="0"/>
        <v>6</v>
      </c>
      <c r="I38" s="4">
        <v>225</v>
      </c>
      <c r="J38" s="3">
        <v>0.43159999999999998</v>
      </c>
    </row>
    <row r="39" spans="1:10" ht="19" x14ac:dyDescent="0.25">
      <c r="A39" s="18">
        <v>46153</v>
      </c>
      <c r="B39" s="1">
        <v>7.0000000000000007E-2</v>
      </c>
      <c r="C39" s="1">
        <v>0.03</v>
      </c>
      <c r="D39" s="1">
        <v>0.05</v>
      </c>
      <c r="E39" s="1">
        <v>39</v>
      </c>
      <c r="F39" s="1">
        <v>38</v>
      </c>
      <c r="G39" s="6">
        <v>46147</v>
      </c>
      <c r="H39" s="4">
        <f t="shared" si="0"/>
        <v>6</v>
      </c>
      <c r="I39" s="4">
        <v>227.5</v>
      </c>
      <c r="J39" s="3">
        <v>0.4531</v>
      </c>
    </row>
    <row r="40" spans="1:10" ht="19" x14ac:dyDescent="0.25">
      <c r="A40" s="18">
        <v>46153</v>
      </c>
      <c r="B40" s="1">
        <v>0.03</v>
      </c>
      <c r="C40" s="1">
        <v>0.02</v>
      </c>
      <c r="D40" s="1">
        <v>0.03</v>
      </c>
      <c r="E40" s="1">
        <v>40</v>
      </c>
      <c r="F40" s="1">
        <v>621</v>
      </c>
      <c r="G40" s="6">
        <v>46147</v>
      </c>
      <c r="H40" s="4">
        <f t="shared" si="0"/>
        <v>6</v>
      </c>
      <c r="I40" s="4">
        <v>230</v>
      </c>
      <c r="J40" s="3">
        <v>0.4531</v>
      </c>
    </row>
    <row r="41" spans="1:10" ht="19" x14ac:dyDescent="0.25">
      <c r="A41" s="18">
        <v>46153</v>
      </c>
      <c r="B41" s="1">
        <v>0.04</v>
      </c>
      <c r="C41" s="1">
        <v>0.02</v>
      </c>
      <c r="D41" s="1">
        <v>0.03</v>
      </c>
      <c r="E41" s="1">
        <v>46</v>
      </c>
      <c r="F41" s="1">
        <v>44</v>
      </c>
      <c r="G41" s="6">
        <v>46147</v>
      </c>
      <c r="H41" s="4">
        <f t="shared" si="0"/>
        <v>6</v>
      </c>
      <c r="I41" s="4">
        <v>232.5</v>
      </c>
      <c r="J41" s="3">
        <v>0.48049999999999998</v>
      </c>
    </row>
    <row r="42" spans="1:10" ht="19" x14ac:dyDescent="0.25">
      <c r="A42" s="18">
        <v>46153</v>
      </c>
      <c r="B42" s="1">
        <v>0.01</v>
      </c>
      <c r="C42" s="1">
        <v>0</v>
      </c>
      <c r="D42" s="1">
        <v>0.01</v>
      </c>
      <c r="E42" s="1">
        <v>47</v>
      </c>
      <c r="F42" s="1">
        <v>8</v>
      </c>
      <c r="G42" s="6">
        <v>46147</v>
      </c>
      <c r="H42" s="4">
        <f t="shared" si="0"/>
        <v>6</v>
      </c>
      <c r="I42" s="4">
        <v>242.5</v>
      </c>
      <c r="J42" s="3">
        <v>0.5</v>
      </c>
    </row>
    <row r="43" spans="1:10" ht="19" x14ac:dyDescent="0.25">
      <c r="A43" s="18">
        <v>46153</v>
      </c>
      <c r="B43" s="1">
        <v>0.01</v>
      </c>
      <c r="C43" s="1">
        <v>0.01</v>
      </c>
      <c r="D43" s="1">
        <v>0.02</v>
      </c>
      <c r="E43" s="1">
        <v>10</v>
      </c>
      <c r="F43" s="1">
        <v>104</v>
      </c>
      <c r="G43" s="6">
        <v>46147</v>
      </c>
      <c r="H43" s="4">
        <f t="shared" si="0"/>
        <v>6</v>
      </c>
      <c r="I43" s="4">
        <v>245</v>
      </c>
      <c r="J43" s="3">
        <v>0.57030000000000003</v>
      </c>
    </row>
    <row r="44" spans="1:10" ht="19" x14ac:dyDescent="0.25">
      <c r="A44" s="18">
        <v>46153</v>
      </c>
      <c r="B44" s="1">
        <v>0.01</v>
      </c>
      <c r="C44" s="1">
        <v>0</v>
      </c>
      <c r="D44" s="1">
        <v>0.01</v>
      </c>
      <c r="E44" s="1">
        <v>58</v>
      </c>
      <c r="F44" s="1">
        <v>528</v>
      </c>
      <c r="G44" s="6">
        <v>46147</v>
      </c>
      <c r="H44" s="4">
        <f t="shared" si="0"/>
        <v>6</v>
      </c>
      <c r="I44" s="4">
        <v>250</v>
      </c>
      <c r="J44" s="3">
        <v>0.5625</v>
      </c>
    </row>
    <row r="45" spans="1:10" ht="19" x14ac:dyDescent="0.25">
      <c r="A45" s="18">
        <v>46153</v>
      </c>
      <c r="B45" s="1">
        <v>0.01</v>
      </c>
      <c r="C45" s="1">
        <v>0</v>
      </c>
      <c r="D45" s="1">
        <v>0.01</v>
      </c>
      <c r="E45" s="1">
        <v>6</v>
      </c>
      <c r="F45" s="1">
        <v>126</v>
      </c>
      <c r="G45" s="6">
        <v>46147</v>
      </c>
      <c r="H45" s="4">
        <f t="shared" si="0"/>
        <v>6</v>
      </c>
      <c r="I45" s="4">
        <v>255</v>
      </c>
      <c r="J45" s="3">
        <v>0.59379999999999999</v>
      </c>
    </row>
    <row r="46" spans="1:10" ht="19" x14ac:dyDescent="0.25">
      <c r="A46" s="18">
        <v>46153</v>
      </c>
      <c r="B46" s="1">
        <v>0.01</v>
      </c>
      <c r="C46" s="1">
        <v>0</v>
      </c>
      <c r="D46" s="1">
        <v>0.01</v>
      </c>
      <c r="E46" s="1">
        <v>15</v>
      </c>
      <c r="F46" s="1">
        <v>56</v>
      </c>
      <c r="G46" s="6">
        <v>46147</v>
      </c>
      <c r="H46" s="4">
        <f t="shared" si="0"/>
        <v>6</v>
      </c>
      <c r="I46" s="4">
        <v>265</v>
      </c>
      <c r="J46" s="3">
        <v>0.6875</v>
      </c>
    </row>
    <row r="47" spans="1:10" ht="19" x14ac:dyDescent="0.25">
      <c r="A47" s="14">
        <v>46155</v>
      </c>
      <c r="B47" s="8">
        <v>35.200000000000003</v>
      </c>
      <c r="C47" s="8">
        <v>31.8</v>
      </c>
      <c r="D47" s="8">
        <v>34.15</v>
      </c>
      <c r="E47" s="8">
        <v>100</v>
      </c>
      <c r="F47" s="8">
        <v>100</v>
      </c>
      <c r="G47" s="6">
        <v>46147</v>
      </c>
      <c r="H47" s="4">
        <f t="shared" ref="H47:H70" si="1">13-5</f>
        <v>8</v>
      </c>
      <c r="I47" s="4">
        <v>165</v>
      </c>
      <c r="J47" s="9">
        <v>0.60940000000000005</v>
      </c>
    </row>
    <row r="48" spans="1:10" ht="19" x14ac:dyDescent="0.25">
      <c r="A48" s="14">
        <v>46155</v>
      </c>
      <c r="B48" s="8">
        <v>26.94</v>
      </c>
      <c r="C48" s="8">
        <v>27.05</v>
      </c>
      <c r="D48" s="8">
        <v>29.2</v>
      </c>
      <c r="E48" s="8">
        <v>52</v>
      </c>
      <c r="F48" s="8">
        <v>7</v>
      </c>
      <c r="G48" s="6">
        <v>46147</v>
      </c>
      <c r="H48" s="4">
        <f t="shared" si="1"/>
        <v>8</v>
      </c>
      <c r="I48" s="4">
        <v>170</v>
      </c>
      <c r="J48" s="9">
        <v>0.58350000000000002</v>
      </c>
    </row>
    <row r="49" spans="1:10" ht="19" x14ac:dyDescent="0.25">
      <c r="A49" s="14">
        <v>46155</v>
      </c>
      <c r="B49" s="8">
        <v>21.97</v>
      </c>
      <c r="C49" s="8">
        <v>22.3</v>
      </c>
      <c r="D49" s="8">
        <v>24.1</v>
      </c>
      <c r="E49" s="8">
        <v>59</v>
      </c>
      <c r="F49" s="8">
        <v>33</v>
      </c>
      <c r="G49" s="6">
        <v>46147</v>
      </c>
      <c r="H49" s="4">
        <f t="shared" si="1"/>
        <v>8</v>
      </c>
      <c r="I49" s="4">
        <v>175</v>
      </c>
      <c r="J49" s="9">
        <v>0.51270000000000004</v>
      </c>
    </row>
    <row r="50" spans="1:10" ht="19" x14ac:dyDescent="0.25">
      <c r="A50" s="14">
        <v>46155</v>
      </c>
      <c r="B50" s="8">
        <v>22.85</v>
      </c>
      <c r="C50" s="8">
        <v>20.399999999999999</v>
      </c>
      <c r="D50" s="8">
        <v>21.15</v>
      </c>
      <c r="E50" s="8">
        <v>52</v>
      </c>
      <c r="F50" s="8">
        <v>7</v>
      </c>
      <c r="G50" s="6">
        <v>46147</v>
      </c>
      <c r="H50" s="4">
        <f t="shared" si="1"/>
        <v>8</v>
      </c>
      <c r="I50" s="4">
        <v>177.5</v>
      </c>
      <c r="J50" s="9">
        <v>0.56030000000000002</v>
      </c>
    </row>
    <row r="51" spans="1:10" ht="19" x14ac:dyDescent="0.25">
      <c r="A51" s="14">
        <v>46155</v>
      </c>
      <c r="B51" s="8">
        <v>14.85</v>
      </c>
      <c r="C51" s="8">
        <v>13.05</v>
      </c>
      <c r="D51" s="8">
        <v>14.25</v>
      </c>
      <c r="E51" s="8">
        <v>88</v>
      </c>
      <c r="F51" s="8">
        <v>66</v>
      </c>
      <c r="G51" s="6">
        <v>46147</v>
      </c>
      <c r="H51" s="4">
        <f t="shared" si="1"/>
        <v>8</v>
      </c>
      <c r="I51" s="4">
        <v>185</v>
      </c>
      <c r="J51" s="9">
        <v>0.4783</v>
      </c>
    </row>
    <row r="52" spans="1:10" ht="19" x14ac:dyDescent="0.25">
      <c r="A52" s="14">
        <v>46155</v>
      </c>
      <c r="B52" s="8">
        <v>12.23</v>
      </c>
      <c r="C52" s="8">
        <v>11</v>
      </c>
      <c r="D52" s="8">
        <v>11.95</v>
      </c>
      <c r="E52" s="8">
        <v>61</v>
      </c>
      <c r="F52" s="8">
        <v>136</v>
      </c>
      <c r="G52" s="6">
        <v>46147</v>
      </c>
      <c r="H52" s="4">
        <f t="shared" si="1"/>
        <v>8</v>
      </c>
      <c r="I52" s="4">
        <v>187.5</v>
      </c>
      <c r="J52" s="9">
        <v>0.43919999999999998</v>
      </c>
    </row>
    <row r="53" spans="1:10" ht="19" x14ac:dyDescent="0.25">
      <c r="A53" s="14">
        <v>46155</v>
      </c>
      <c r="B53" s="8">
        <v>7.8</v>
      </c>
      <c r="C53" s="8">
        <v>7.4</v>
      </c>
      <c r="D53" s="8">
        <v>8.0500000000000007</v>
      </c>
      <c r="E53" s="8">
        <v>34</v>
      </c>
      <c r="F53" s="8">
        <v>48</v>
      </c>
      <c r="G53" s="6">
        <v>46147</v>
      </c>
      <c r="H53" s="4">
        <f t="shared" si="1"/>
        <v>8</v>
      </c>
      <c r="I53" s="4">
        <v>192.5</v>
      </c>
      <c r="J53" s="9">
        <v>0.40660000000000002</v>
      </c>
    </row>
    <row r="54" spans="1:10" ht="19" x14ac:dyDescent="0.25">
      <c r="A54" s="14">
        <v>46155</v>
      </c>
      <c r="B54" s="8">
        <v>6</v>
      </c>
      <c r="C54" s="8">
        <v>5.75</v>
      </c>
      <c r="D54" s="8">
        <v>6.15</v>
      </c>
      <c r="E54" s="8">
        <v>42</v>
      </c>
      <c r="F54" s="8">
        <v>119</v>
      </c>
      <c r="G54" s="6">
        <v>46147</v>
      </c>
      <c r="H54" s="4">
        <f t="shared" si="1"/>
        <v>8</v>
      </c>
      <c r="I54" s="4">
        <v>195</v>
      </c>
      <c r="J54" s="9">
        <v>0.37619999999999998</v>
      </c>
    </row>
    <row r="55" spans="1:10" ht="19" x14ac:dyDescent="0.25">
      <c r="A55" s="14">
        <v>46155</v>
      </c>
      <c r="B55" s="8">
        <v>4.45</v>
      </c>
      <c r="C55" s="8">
        <v>4.4000000000000004</v>
      </c>
      <c r="D55" s="8">
        <v>4.45</v>
      </c>
      <c r="E55" s="8">
        <v>96</v>
      </c>
      <c r="F55" s="8">
        <v>232</v>
      </c>
      <c r="G55" s="6">
        <v>46147</v>
      </c>
      <c r="H55" s="4">
        <f t="shared" si="1"/>
        <v>8</v>
      </c>
      <c r="I55" s="4">
        <v>197.5</v>
      </c>
      <c r="J55" s="9">
        <v>0.34799999999999998</v>
      </c>
    </row>
    <row r="56" spans="1:10" ht="19" x14ac:dyDescent="0.25">
      <c r="A56" s="14">
        <v>46155</v>
      </c>
      <c r="B56" s="8">
        <v>3.2</v>
      </c>
      <c r="C56" s="8">
        <v>3.15</v>
      </c>
      <c r="D56" s="8">
        <v>3.25</v>
      </c>
      <c r="E56" s="10">
        <v>1085</v>
      </c>
      <c r="F56" s="10">
        <v>1163</v>
      </c>
      <c r="G56" s="6">
        <v>46147</v>
      </c>
      <c r="H56" s="4">
        <f t="shared" si="1"/>
        <v>8</v>
      </c>
      <c r="I56" s="4">
        <v>200</v>
      </c>
      <c r="J56" s="9">
        <v>0.34250000000000003</v>
      </c>
    </row>
    <row r="57" spans="1:10" ht="19" x14ac:dyDescent="0.25">
      <c r="A57" s="14">
        <v>46155</v>
      </c>
      <c r="B57" s="8">
        <v>2.35</v>
      </c>
      <c r="C57" s="8">
        <v>2.15</v>
      </c>
      <c r="D57" s="8">
        <v>2.2999999999999998</v>
      </c>
      <c r="E57" s="8">
        <v>406</v>
      </c>
      <c r="F57" s="8">
        <v>371</v>
      </c>
      <c r="G57" s="6">
        <v>46147</v>
      </c>
      <c r="H57" s="4">
        <f t="shared" si="1"/>
        <v>8</v>
      </c>
      <c r="I57" s="4">
        <v>202.5</v>
      </c>
      <c r="J57" s="9">
        <v>0.33900000000000002</v>
      </c>
    </row>
    <row r="58" spans="1:10" ht="19" x14ac:dyDescent="0.25">
      <c r="A58" s="14">
        <v>46155</v>
      </c>
      <c r="B58" s="8">
        <v>1.53</v>
      </c>
      <c r="C58" s="8">
        <v>1.5</v>
      </c>
      <c r="D58" s="8">
        <v>1.54</v>
      </c>
      <c r="E58" s="8">
        <v>585</v>
      </c>
      <c r="F58" s="10">
        <v>1056</v>
      </c>
      <c r="G58" s="6">
        <v>46147</v>
      </c>
      <c r="H58" s="4">
        <f t="shared" si="1"/>
        <v>8</v>
      </c>
      <c r="I58" s="4">
        <v>205</v>
      </c>
      <c r="J58" s="9">
        <v>0.33289999999999997</v>
      </c>
    </row>
    <row r="59" spans="1:10" ht="19" x14ac:dyDescent="0.25">
      <c r="A59" s="14">
        <v>46155</v>
      </c>
      <c r="B59" s="8">
        <v>1.07</v>
      </c>
      <c r="C59" s="8">
        <v>1.02</v>
      </c>
      <c r="D59" s="8">
        <v>1.06</v>
      </c>
      <c r="E59" s="8">
        <v>211</v>
      </c>
      <c r="F59" s="8">
        <v>302</v>
      </c>
      <c r="G59" s="6">
        <v>46147</v>
      </c>
      <c r="H59" s="4">
        <f t="shared" si="1"/>
        <v>8</v>
      </c>
      <c r="I59" s="4">
        <v>207.5</v>
      </c>
      <c r="J59" s="9">
        <v>0.3367</v>
      </c>
    </row>
    <row r="60" spans="1:10" ht="19" x14ac:dyDescent="0.25">
      <c r="A60" s="14">
        <v>46155</v>
      </c>
      <c r="B60" s="8">
        <v>0.71</v>
      </c>
      <c r="C60" s="8">
        <v>0.7</v>
      </c>
      <c r="D60" s="8">
        <v>0.72</v>
      </c>
      <c r="E60" s="8">
        <v>383</v>
      </c>
      <c r="F60" s="10">
        <v>1414</v>
      </c>
      <c r="G60" s="6">
        <v>46147</v>
      </c>
      <c r="H60" s="4">
        <f t="shared" si="1"/>
        <v>8</v>
      </c>
      <c r="I60" s="4">
        <v>210</v>
      </c>
      <c r="J60" s="9">
        <v>0.34110000000000001</v>
      </c>
    </row>
    <row r="61" spans="1:10" ht="19" x14ac:dyDescent="0.25">
      <c r="A61" s="14">
        <v>46155</v>
      </c>
      <c r="B61" s="8">
        <v>0.5</v>
      </c>
      <c r="C61" s="8">
        <v>0.47</v>
      </c>
      <c r="D61" s="8">
        <v>0.51</v>
      </c>
      <c r="E61" s="8">
        <v>147</v>
      </c>
      <c r="F61" s="8">
        <v>210</v>
      </c>
      <c r="G61" s="6">
        <v>46147</v>
      </c>
      <c r="H61" s="4">
        <f t="shared" si="1"/>
        <v>8</v>
      </c>
      <c r="I61" s="4">
        <v>212.5</v>
      </c>
      <c r="J61" s="9">
        <v>0.35060000000000002</v>
      </c>
    </row>
    <row r="62" spans="1:10" ht="19" x14ac:dyDescent="0.25">
      <c r="A62" s="14">
        <v>46155</v>
      </c>
      <c r="B62" s="8">
        <v>0.35</v>
      </c>
      <c r="C62" s="8">
        <v>0.35</v>
      </c>
      <c r="D62" s="8">
        <v>0.36</v>
      </c>
      <c r="E62" s="8">
        <v>810</v>
      </c>
      <c r="F62" s="10">
        <v>1915</v>
      </c>
      <c r="G62" s="6">
        <v>46147</v>
      </c>
      <c r="H62" s="4">
        <f t="shared" si="1"/>
        <v>8</v>
      </c>
      <c r="I62" s="4">
        <v>215</v>
      </c>
      <c r="J62" s="9">
        <v>0.3599</v>
      </c>
    </row>
    <row r="63" spans="1:10" ht="19" x14ac:dyDescent="0.25">
      <c r="A63" s="14">
        <v>46155</v>
      </c>
      <c r="B63" s="8">
        <v>0.28000000000000003</v>
      </c>
      <c r="C63" s="8">
        <v>0.24</v>
      </c>
      <c r="D63" s="8">
        <v>0.27</v>
      </c>
      <c r="E63" s="8">
        <v>32</v>
      </c>
      <c r="F63" s="8">
        <v>264</v>
      </c>
      <c r="G63" s="6">
        <v>46147</v>
      </c>
      <c r="H63" s="4">
        <f t="shared" si="1"/>
        <v>8</v>
      </c>
      <c r="I63" s="4">
        <v>217.5</v>
      </c>
      <c r="J63" s="9">
        <v>0.3735</v>
      </c>
    </row>
    <row r="64" spans="1:10" ht="19" x14ac:dyDescent="0.25">
      <c r="A64" s="14">
        <v>46155</v>
      </c>
      <c r="B64" s="8">
        <v>0.22</v>
      </c>
      <c r="C64" s="8">
        <v>0.2</v>
      </c>
      <c r="D64" s="8">
        <v>0.22</v>
      </c>
      <c r="E64" s="8">
        <v>177</v>
      </c>
      <c r="F64" s="10">
        <v>1325</v>
      </c>
      <c r="G64" s="6">
        <v>46147</v>
      </c>
      <c r="H64" s="4">
        <f t="shared" si="1"/>
        <v>8</v>
      </c>
      <c r="I64" s="4">
        <v>220</v>
      </c>
      <c r="J64" s="9">
        <v>0.3926</v>
      </c>
    </row>
    <row r="65" spans="1:10" ht="19" x14ac:dyDescent="0.25">
      <c r="A65" s="14">
        <v>46155</v>
      </c>
      <c r="B65" s="8">
        <v>0.17</v>
      </c>
      <c r="C65" s="8">
        <v>0.14000000000000001</v>
      </c>
      <c r="D65" s="8">
        <v>0.17</v>
      </c>
      <c r="E65" s="8">
        <v>103</v>
      </c>
      <c r="F65" s="8">
        <v>174</v>
      </c>
      <c r="G65" s="6">
        <v>46147</v>
      </c>
      <c r="H65" s="4">
        <f t="shared" si="1"/>
        <v>8</v>
      </c>
      <c r="I65" s="4">
        <v>222.5</v>
      </c>
      <c r="J65" s="9">
        <v>0.40629999999999999</v>
      </c>
    </row>
    <row r="66" spans="1:10" ht="19" x14ac:dyDescent="0.25">
      <c r="A66" s="14">
        <v>46155</v>
      </c>
      <c r="B66" s="8">
        <v>0.13</v>
      </c>
      <c r="C66" s="8">
        <v>0.11</v>
      </c>
      <c r="D66" s="8">
        <v>0.14000000000000001</v>
      </c>
      <c r="E66" s="8">
        <v>81</v>
      </c>
      <c r="F66" s="10">
        <v>2590</v>
      </c>
      <c r="G66" s="6">
        <v>46147</v>
      </c>
      <c r="H66" s="4">
        <f t="shared" si="1"/>
        <v>8</v>
      </c>
      <c r="I66" s="4">
        <v>225</v>
      </c>
      <c r="J66" s="9">
        <v>0.42380000000000001</v>
      </c>
    </row>
    <row r="67" spans="1:10" ht="19" x14ac:dyDescent="0.25">
      <c r="A67" s="14">
        <v>46155</v>
      </c>
      <c r="B67" s="8">
        <v>0.08</v>
      </c>
      <c r="C67" s="8">
        <v>7.0000000000000007E-2</v>
      </c>
      <c r="D67" s="8">
        <v>0.09</v>
      </c>
      <c r="E67" s="8">
        <v>73</v>
      </c>
      <c r="F67" s="8">
        <v>882</v>
      </c>
      <c r="G67" s="6">
        <v>46147</v>
      </c>
      <c r="H67" s="4">
        <f t="shared" si="1"/>
        <v>8</v>
      </c>
      <c r="I67" s="4">
        <v>230</v>
      </c>
      <c r="J67" s="9">
        <v>0.45119999999999999</v>
      </c>
    </row>
    <row r="68" spans="1:10" ht="19" x14ac:dyDescent="0.25">
      <c r="A68" s="14">
        <v>46155</v>
      </c>
      <c r="B68" s="8">
        <v>0.03</v>
      </c>
      <c r="C68" s="8">
        <v>0.01</v>
      </c>
      <c r="D68" s="8">
        <v>0.03</v>
      </c>
      <c r="E68" s="8">
        <v>41</v>
      </c>
      <c r="F68" s="8">
        <v>53</v>
      </c>
      <c r="G68" s="6">
        <v>46147</v>
      </c>
      <c r="H68" s="4">
        <f t="shared" si="1"/>
        <v>8</v>
      </c>
      <c r="I68" s="4">
        <v>245</v>
      </c>
      <c r="J68" s="9">
        <v>0.50780000000000003</v>
      </c>
    </row>
    <row r="69" spans="1:10" ht="19" x14ac:dyDescent="0.25">
      <c r="A69" s="14">
        <v>46155</v>
      </c>
      <c r="B69" s="8">
        <v>0.01</v>
      </c>
      <c r="C69" s="8">
        <v>0.01</v>
      </c>
      <c r="D69" s="8">
        <v>0.11</v>
      </c>
      <c r="E69" s="8">
        <v>20</v>
      </c>
      <c r="F69" s="8">
        <v>230</v>
      </c>
      <c r="G69" s="6">
        <v>46147</v>
      </c>
      <c r="H69" s="4">
        <f t="shared" si="1"/>
        <v>8</v>
      </c>
      <c r="I69" s="4">
        <v>250</v>
      </c>
      <c r="J69" s="9">
        <v>0.62309999999999999</v>
      </c>
    </row>
    <row r="70" spans="1:10" ht="19" x14ac:dyDescent="0.25">
      <c r="A70" s="14">
        <v>46155</v>
      </c>
      <c r="B70" s="8">
        <v>0.03</v>
      </c>
      <c r="C70" s="8">
        <v>0</v>
      </c>
      <c r="D70" s="8">
        <v>0.01</v>
      </c>
      <c r="E70" s="8">
        <v>83</v>
      </c>
      <c r="F70" s="8">
        <v>80</v>
      </c>
      <c r="G70" s="6">
        <v>46147</v>
      </c>
      <c r="H70" s="4">
        <f t="shared" si="1"/>
        <v>8</v>
      </c>
      <c r="I70" s="4">
        <v>265</v>
      </c>
      <c r="J70" s="9">
        <v>0.59379999999999999</v>
      </c>
    </row>
    <row r="71" spans="1:10" ht="19" x14ac:dyDescent="0.25">
      <c r="A71" s="19">
        <v>46157</v>
      </c>
      <c r="B71" s="8">
        <v>32.89</v>
      </c>
      <c r="C71" s="8">
        <v>32.200000000000003</v>
      </c>
      <c r="D71" s="8">
        <v>33.1</v>
      </c>
      <c r="E71" s="8">
        <v>10</v>
      </c>
      <c r="F71" s="10">
        <v>2656</v>
      </c>
      <c r="G71" s="6">
        <v>46147</v>
      </c>
      <c r="H71" s="4">
        <f t="shared" ref="H71:H101" si="2">15-5</f>
        <v>10</v>
      </c>
      <c r="I71" s="4">
        <v>165</v>
      </c>
      <c r="J71" s="9">
        <v>0.69579999999999997</v>
      </c>
    </row>
    <row r="72" spans="1:10" ht="19" x14ac:dyDescent="0.25">
      <c r="A72" s="19">
        <v>46157</v>
      </c>
      <c r="B72" s="8">
        <v>27.6</v>
      </c>
      <c r="C72" s="8">
        <v>27.75</v>
      </c>
      <c r="D72" s="8">
        <v>28.2</v>
      </c>
      <c r="E72" s="8">
        <v>46</v>
      </c>
      <c r="F72" s="10">
        <v>10276</v>
      </c>
      <c r="G72" s="6">
        <v>46147</v>
      </c>
      <c r="H72" s="4">
        <f t="shared" si="2"/>
        <v>10</v>
      </c>
      <c r="I72" s="4">
        <v>170</v>
      </c>
      <c r="J72" s="9">
        <v>0.6653</v>
      </c>
    </row>
    <row r="73" spans="1:10" ht="19" x14ac:dyDescent="0.25">
      <c r="A73" s="19">
        <v>46157</v>
      </c>
      <c r="B73" s="8">
        <v>23.08</v>
      </c>
      <c r="C73" s="8">
        <v>22.75</v>
      </c>
      <c r="D73" s="8">
        <v>23.15</v>
      </c>
      <c r="E73" s="8">
        <v>69</v>
      </c>
      <c r="F73" s="10">
        <v>14409</v>
      </c>
      <c r="G73" s="6">
        <v>46147</v>
      </c>
      <c r="H73" s="4">
        <f t="shared" si="2"/>
        <v>10</v>
      </c>
      <c r="I73" s="4">
        <v>175</v>
      </c>
      <c r="J73" s="9">
        <v>0.56179999999999997</v>
      </c>
    </row>
    <row r="74" spans="1:10" ht="19" x14ac:dyDescent="0.25">
      <c r="A74" s="19">
        <v>46157</v>
      </c>
      <c r="B74" s="8">
        <v>18.18</v>
      </c>
      <c r="C74" s="8">
        <v>18.2</v>
      </c>
      <c r="D74" s="8">
        <v>18.600000000000001</v>
      </c>
      <c r="E74" s="8">
        <v>91</v>
      </c>
      <c r="F74" s="10">
        <v>37319</v>
      </c>
      <c r="G74" s="6">
        <v>46147</v>
      </c>
      <c r="H74" s="4">
        <f t="shared" si="2"/>
        <v>10</v>
      </c>
      <c r="I74" s="4">
        <v>180</v>
      </c>
      <c r="J74" s="9">
        <v>0.5222</v>
      </c>
    </row>
    <row r="75" spans="1:10" ht="19" x14ac:dyDescent="0.25">
      <c r="A75" s="19">
        <v>46157</v>
      </c>
      <c r="B75" s="8">
        <v>15.85</v>
      </c>
      <c r="C75" s="8">
        <v>16</v>
      </c>
      <c r="D75" s="8">
        <v>16.149999999999999</v>
      </c>
      <c r="E75" s="8">
        <v>173</v>
      </c>
      <c r="F75" s="8">
        <v>354</v>
      </c>
      <c r="G75" s="6">
        <v>46147</v>
      </c>
      <c r="H75" s="4">
        <f t="shared" si="2"/>
        <v>10</v>
      </c>
      <c r="I75" s="4">
        <v>182.5</v>
      </c>
      <c r="J75" s="9">
        <v>0.49680000000000002</v>
      </c>
    </row>
    <row r="76" spans="1:10" ht="19" x14ac:dyDescent="0.25">
      <c r="A76" s="19">
        <v>46157</v>
      </c>
      <c r="B76" s="8">
        <v>13.73</v>
      </c>
      <c r="C76" s="8">
        <v>13.95</v>
      </c>
      <c r="D76" s="8">
        <v>14.05</v>
      </c>
      <c r="E76" s="8">
        <v>116</v>
      </c>
      <c r="F76" s="10">
        <v>29675</v>
      </c>
      <c r="G76" s="6">
        <v>46147</v>
      </c>
      <c r="H76" s="4">
        <f t="shared" si="2"/>
        <v>10</v>
      </c>
      <c r="I76" s="4">
        <v>185</v>
      </c>
      <c r="J76" s="9">
        <v>0.48110000000000003</v>
      </c>
    </row>
    <row r="77" spans="1:10" ht="19" x14ac:dyDescent="0.25">
      <c r="A77" s="19">
        <v>46157</v>
      </c>
      <c r="B77" s="8">
        <v>12.57</v>
      </c>
      <c r="C77" s="8">
        <v>11.85</v>
      </c>
      <c r="D77" s="8">
        <v>12</v>
      </c>
      <c r="E77" s="8">
        <v>192</v>
      </c>
      <c r="F77" s="8">
        <v>625</v>
      </c>
      <c r="G77" s="6">
        <v>46147</v>
      </c>
      <c r="H77" s="4">
        <f t="shared" si="2"/>
        <v>10</v>
      </c>
      <c r="I77" s="4">
        <v>187.5</v>
      </c>
      <c r="J77" s="9">
        <v>0.46189999999999998</v>
      </c>
    </row>
    <row r="78" spans="1:10" ht="19" x14ac:dyDescent="0.25">
      <c r="A78" s="19">
        <v>46157</v>
      </c>
      <c r="B78" s="8">
        <v>9.66</v>
      </c>
      <c r="C78" s="8">
        <v>9.6999999999999993</v>
      </c>
      <c r="D78" s="8">
        <v>9.8000000000000007</v>
      </c>
      <c r="E78" s="8">
        <v>597</v>
      </c>
      <c r="F78" s="10">
        <v>42729</v>
      </c>
      <c r="G78" s="6">
        <v>46147</v>
      </c>
      <c r="H78" s="4">
        <f t="shared" si="2"/>
        <v>10</v>
      </c>
      <c r="I78" s="4">
        <v>190</v>
      </c>
      <c r="J78" s="9">
        <v>0.4219</v>
      </c>
    </row>
    <row r="79" spans="1:10" ht="19" x14ac:dyDescent="0.25">
      <c r="A79" s="19">
        <v>46157</v>
      </c>
      <c r="B79" s="8">
        <v>8.0399999999999991</v>
      </c>
      <c r="C79" s="8">
        <v>8</v>
      </c>
      <c r="D79" s="8">
        <v>8.0500000000000007</v>
      </c>
      <c r="E79" s="8">
        <v>125</v>
      </c>
      <c r="F79" s="10">
        <v>3031</v>
      </c>
      <c r="G79" s="6">
        <v>46147</v>
      </c>
      <c r="H79" s="4">
        <f t="shared" si="2"/>
        <v>10</v>
      </c>
      <c r="I79" s="4">
        <v>192.5</v>
      </c>
      <c r="J79" s="9">
        <v>0.41070000000000001</v>
      </c>
    </row>
    <row r="80" spans="1:10" ht="19" x14ac:dyDescent="0.25">
      <c r="A80" s="19">
        <v>46157</v>
      </c>
      <c r="B80" s="8">
        <v>6.5</v>
      </c>
      <c r="C80" s="8">
        <v>6.4</v>
      </c>
      <c r="D80" s="8">
        <v>6.5</v>
      </c>
      <c r="E80" s="10">
        <v>1323</v>
      </c>
      <c r="F80" s="10">
        <v>70528</v>
      </c>
      <c r="G80" s="6">
        <v>46147</v>
      </c>
      <c r="H80" s="4">
        <f t="shared" si="2"/>
        <v>10</v>
      </c>
      <c r="I80" s="4">
        <v>195</v>
      </c>
      <c r="J80" s="9">
        <v>0.40260000000000001</v>
      </c>
    </row>
    <row r="81" spans="1:10" ht="19" x14ac:dyDescent="0.25">
      <c r="A81" s="19">
        <v>46157</v>
      </c>
      <c r="B81" s="8">
        <v>5</v>
      </c>
      <c r="C81" s="8">
        <v>5</v>
      </c>
      <c r="D81" s="8">
        <v>5.0999999999999996</v>
      </c>
      <c r="E81" s="10">
        <v>1340</v>
      </c>
      <c r="F81" s="10">
        <v>3117</v>
      </c>
      <c r="G81" s="6">
        <v>46147</v>
      </c>
      <c r="H81" s="4">
        <f t="shared" si="2"/>
        <v>10</v>
      </c>
      <c r="I81" s="4">
        <v>197.5</v>
      </c>
      <c r="J81" s="9">
        <v>0.39279999999999998</v>
      </c>
    </row>
    <row r="82" spans="1:10" ht="19" x14ac:dyDescent="0.25">
      <c r="A82" s="19">
        <v>46157</v>
      </c>
      <c r="B82" s="8">
        <v>3.85</v>
      </c>
      <c r="C82" s="8">
        <v>3.8</v>
      </c>
      <c r="D82" s="8">
        <v>3.85</v>
      </c>
      <c r="E82" s="10">
        <v>9595</v>
      </c>
      <c r="F82" s="10">
        <v>138254</v>
      </c>
      <c r="G82" s="6">
        <v>46147</v>
      </c>
      <c r="H82" s="4">
        <f t="shared" si="2"/>
        <v>10</v>
      </c>
      <c r="I82" s="4">
        <v>200</v>
      </c>
      <c r="J82" s="9">
        <v>0.3805</v>
      </c>
    </row>
    <row r="83" spans="1:10" ht="19" x14ac:dyDescent="0.25">
      <c r="A83" s="19">
        <v>46157</v>
      </c>
      <c r="B83" s="8">
        <v>2.85</v>
      </c>
      <c r="C83" s="8">
        <v>2.79</v>
      </c>
      <c r="D83" s="8">
        <v>2.82</v>
      </c>
      <c r="E83" s="10">
        <v>2845</v>
      </c>
      <c r="F83" s="10">
        <v>10868</v>
      </c>
      <c r="G83" s="6">
        <v>46147</v>
      </c>
      <c r="H83" s="4">
        <f t="shared" si="2"/>
        <v>10</v>
      </c>
      <c r="I83" s="4">
        <v>202.5</v>
      </c>
      <c r="J83" s="9">
        <v>0.37019999999999997</v>
      </c>
    </row>
    <row r="84" spans="1:10" ht="19" x14ac:dyDescent="0.25">
      <c r="A84" s="19">
        <v>46157</v>
      </c>
      <c r="B84" s="8">
        <v>2.0299999999999998</v>
      </c>
      <c r="C84" s="8">
        <v>2.0099999999999998</v>
      </c>
      <c r="D84" s="8">
        <v>2.0299999999999998</v>
      </c>
      <c r="E84" s="10">
        <v>12522</v>
      </c>
      <c r="F84" s="10">
        <v>50497</v>
      </c>
      <c r="G84" s="6">
        <v>46147</v>
      </c>
      <c r="H84" s="4">
        <f t="shared" si="2"/>
        <v>10</v>
      </c>
      <c r="I84" s="4">
        <v>205</v>
      </c>
      <c r="J84" s="9">
        <v>0.36409999999999998</v>
      </c>
    </row>
    <row r="85" spans="1:10" ht="19" x14ac:dyDescent="0.25">
      <c r="A85" s="19">
        <v>46157</v>
      </c>
      <c r="B85" s="8">
        <v>1.43</v>
      </c>
      <c r="C85" s="8">
        <v>1.44</v>
      </c>
      <c r="D85" s="8">
        <v>1.46</v>
      </c>
      <c r="E85" s="8">
        <v>460</v>
      </c>
      <c r="F85" s="10">
        <v>9851</v>
      </c>
      <c r="G85" s="6">
        <v>46147</v>
      </c>
      <c r="H85" s="4">
        <f t="shared" si="2"/>
        <v>10</v>
      </c>
      <c r="I85" s="4">
        <v>207.5</v>
      </c>
      <c r="J85" s="9">
        <v>0.36299999999999999</v>
      </c>
    </row>
    <row r="86" spans="1:10" ht="19" x14ac:dyDescent="0.25">
      <c r="A86" s="19">
        <v>46157</v>
      </c>
      <c r="B86" s="8">
        <v>1.02</v>
      </c>
      <c r="C86" s="8">
        <v>1.02</v>
      </c>
      <c r="D86" s="8">
        <v>1.04</v>
      </c>
      <c r="E86" s="10">
        <v>10193</v>
      </c>
      <c r="F86" s="10">
        <v>82880</v>
      </c>
      <c r="G86" s="6">
        <v>46147</v>
      </c>
      <c r="H86" s="4">
        <f t="shared" si="2"/>
        <v>10</v>
      </c>
      <c r="I86" s="4">
        <v>210</v>
      </c>
      <c r="J86" s="9">
        <v>0.36380000000000001</v>
      </c>
    </row>
    <row r="87" spans="1:10" ht="19" x14ac:dyDescent="0.25">
      <c r="A87" s="19">
        <v>46157</v>
      </c>
      <c r="B87" s="8">
        <v>0.69</v>
      </c>
      <c r="C87" s="8">
        <v>0.71</v>
      </c>
      <c r="D87" s="8">
        <v>0.72</v>
      </c>
      <c r="E87" s="10">
        <v>2140</v>
      </c>
      <c r="F87" s="10">
        <v>15443</v>
      </c>
      <c r="G87" s="6">
        <v>46147</v>
      </c>
      <c r="H87" s="4">
        <f t="shared" si="2"/>
        <v>10</v>
      </c>
      <c r="I87" s="4">
        <v>212.5</v>
      </c>
      <c r="J87" s="9">
        <v>0.36380000000000001</v>
      </c>
    </row>
    <row r="88" spans="1:10" ht="19" x14ac:dyDescent="0.25">
      <c r="A88" s="19">
        <v>46157</v>
      </c>
      <c r="B88" s="8">
        <v>0.51</v>
      </c>
      <c r="C88" s="8">
        <v>0.51</v>
      </c>
      <c r="D88" s="8">
        <v>0.52</v>
      </c>
      <c r="E88" s="10">
        <v>6317</v>
      </c>
      <c r="F88" s="10">
        <v>52978</v>
      </c>
      <c r="G88" s="6">
        <v>46147</v>
      </c>
      <c r="H88" s="4">
        <f t="shared" si="2"/>
        <v>10</v>
      </c>
      <c r="I88" s="4">
        <v>215</v>
      </c>
      <c r="J88" s="9">
        <v>0.36909999999999998</v>
      </c>
    </row>
    <row r="89" spans="1:10" ht="19" x14ac:dyDescent="0.25">
      <c r="A89" s="19">
        <v>46157</v>
      </c>
      <c r="B89" s="8">
        <v>0.37</v>
      </c>
      <c r="C89" s="8">
        <v>0.37</v>
      </c>
      <c r="D89" s="8">
        <v>0.38</v>
      </c>
      <c r="E89" s="10">
        <v>1360</v>
      </c>
      <c r="F89" s="10">
        <v>9800</v>
      </c>
      <c r="G89" s="6">
        <v>46147</v>
      </c>
      <c r="H89" s="4">
        <f t="shared" si="2"/>
        <v>10</v>
      </c>
      <c r="I89" s="4">
        <v>217.5</v>
      </c>
      <c r="J89" s="9">
        <v>0.3765</v>
      </c>
    </row>
    <row r="90" spans="1:10" ht="19" x14ac:dyDescent="0.25">
      <c r="A90" s="19">
        <v>46157</v>
      </c>
      <c r="B90" s="8">
        <v>0.28999999999999998</v>
      </c>
      <c r="C90" s="8">
        <v>0.28000000000000003</v>
      </c>
      <c r="D90" s="8">
        <v>0.28999999999999998</v>
      </c>
      <c r="E90" s="10">
        <v>11363</v>
      </c>
      <c r="F90" s="10">
        <v>56348</v>
      </c>
      <c r="G90" s="6">
        <v>46147</v>
      </c>
      <c r="H90" s="4">
        <f t="shared" si="2"/>
        <v>10</v>
      </c>
      <c r="I90" s="4">
        <v>220</v>
      </c>
      <c r="J90" s="9">
        <v>0.38669999999999999</v>
      </c>
    </row>
    <row r="91" spans="1:10" ht="19" x14ac:dyDescent="0.25">
      <c r="A91" s="19">
        <v>46157</v>
      </c>
      <c r="B91" s="8">
        <v>0.22</v>
      </c>
      <c r="C91" s="8">
        <v>0.21</v>
      </c>
      <c r="D91" s="8">
        <v>0.23</v>
      </c>
      <c r="E91" s="8">
        <v>100</v>
      </c>
      <c r="F91" s="10">
        <v>4422</v>
      </c>
      <c r="G91" s="6">
        <v>46147</v>
      </c>
      <c r="H91" s="4">
        <f t="shared" si="2"/>
        <v>10</v>
      </c>
      <c r="I91" s="4">
        <v>222.5</v>
      </c>
      <c r="J91" s="9">
        <v>0.39939999999999998</v>
      </c>
    </row>
    <row r="92" spans="1:10" ht="19" x14ac:dyDescent="0.25">
      <c r="A92" s="19">
        <v>46157</v>
      </c>
      <c r="B92" s="8">
        <v>0.18</v>
      </c>
      <c r="C92" s="8">
        <v>0.17</v>
      </c>
      <c r="D92" s="8">
        <v>0.18</v>
      </c>
      <c r="E92" s="10">
        <v>2397</v>
      </c>
      <c r="F92" s="10">
        <v>18644</v>
      </c>
      <c r="G92" s="6">
        <v>46147</v>
      </c>
      <c r="H92" s="4">
        <f t="shared" si="2"/>
        <v>10</v>
      </c>
      <c r="I92" s="4">
        <v>225</v>
      </c>
      <c r="J92" s="9">
        <v>0.41020000000000001</v>
      </c>
    </row>
    <row r="93" spans="1:10" ht="19" x14ac:dyDescent="0.25">
      <c r="A93" s="19">
        <v>46157</v>
      </c>
      <c r="B93" s="8">
        <v>0.14000000000000001</v>
      </c>
      <c r="C93" s="8">
        <v>0.14000000000000001</v>
      </c>
      <c r="D93" s="8">
        <v>0.15</v>
      </c>
      <c r="E93" s="8">
        <v>58</v>
      </c>
      <c r="F93" s="8">
        <v>514</v>
      </c>
      <c r="G93" s="6">
        <v>46147</v>
      </c>
      <c r="H93" s="4">
        <f t="shared" si="2"/>
        <v>10</v>
      </c>
      <c r="I93" s="4">
        <v>227.5</v>
      </c>
      <c r="J93" s="9">
        <v>0.42480000000000001</v>
      </c>
    </row>
    <row r="94" spans="1:10" ht="19" x14ac:dyDescent="0.25">
      <c r="A94" s="19">
        <v>46157</v>
      </c>
      <c r="B94" s="8">
        <v>0.12</v>
      </c>
      <c r="C94" s="8">
        <v>0.11</v>
      </c>
      <c r="D94" s="8">
        <v>0.12</v>
      </c>
      <c r="E94" s="10">
        <v>1547</v>
      </c>
      <c r="F94" s="10">
        <v>42975</v>
      </c>
      <c r="G94" s="6">
        <v>46147</v>
      </c>
      <c r="H94" s="4">
        <f t="shared" si="2"/>
        <v>10</v>
      </c>
      <c r="I94" s="4">
        <v>230</v>
      </c>
      <c r="J94" s="9">
        <v>0.43559999999999999</v>
      </c>
    </row>
    <row r="95" spans="1:10" ht="19" x14ac:dyDescent="0.25">
      <c r="A95" s="19">
        <v>46157</v>
      </c>
      <c r="B95" s="8">
        <v>0.12</v>
      </c>
      <c r="C95" s="8">
        <v>0.09</v>
      </c>
      <c r="D95" s="8">
        <v>0.1</v>
      </c>
      <c r="E95" s="8">
        <v>10</v>
      </c>
      <c r="F95" s="8">
        <v>263</v>
      </c>
      <c r="G95" s="6">
        <v>46147</v>
      </c>
      <c r="H95" s="4">
        <f t="shared" si="2"/>
        <v>10</v>
      </c>
      <c r="I95" s="4">
        <v>232.5</v>
      </c>
      <c r="J95" s="9">
        <v>0.44919999999999999</v>
      </c>
    </row>
    <row r="96" spans="1:10" ht="19" x14ac:dyDescent="0.25">
      <c r="A96" s="19">
        <v>46157</v>
      </c>
      <c r="B96" s="8">
        <v>7.0000000000000007E-2</v>
      </c>
      <c r="C96" s="8">
        <v>7.0000000000000007E-2</v>
      </c>
      <c r="D96" s="8">
        <v>0.09</v>
      </c>
      <c r="E96" s="8">
        <v>494</v>
      </c>
      <c r="F96" s="10">
        <v>59582</v>
      </c>
      <c r="G96" s="6">
        <v>46147</v>
      </c>
      <c r="H96" s="4">
        <f t="shared" si="2"/>
        <v>10</v>
      </c>
      <c r="I96" s="4">
        <v>235</v>
      </c>
      <c r="J96" s="9">
        <v>0.46679999999999999</v>
      </c>
    </row>
    <row r="97" spans="1:10" ht="19" x14ac:dyDescent="0.25">
      <c r="A97" s="19">
        <v>46157</v>
      </c>
      <c r="B97" s="8">
        <v>0.05</v>
      </c>
      <c r="C97" s="8">
        <v>0.05</v>
      </c>
      <c r="D97" s="8">
        <v>0.06</v>
      </c>
      <c r="E97" s="10">
        <v>1241</v>
      </c>
      <c r="F97" s="10">
        <v>29180</v>
      </c>
      <c r="G97" s="6">
        <v>46147</v>
      </c>
      <c r="H97" s="4">
        <f t="shared" si="2"/>
        <v>10</v>
      </c>
      <c r="I97" s="4">
        <v>240</v>
      </c>
      <c r="J97" s="9">
        <v>0.48630000000000001</v>
      </c>
    </row>
    <row r="98" spans="1:10" ht="19" x14ac:dyDescent="0.25">
      <c r="A98" s="19">
        <v>46157</v>
      </c>
      <c r="B98" s="8">
        <v>0.04</v>
      </c>
      <c r="C98" s="8">
        <v>0.03</v>
      </c>
      <c r="D98" s="8">
        <v>0.04</v>
      </c>
      <c r="E98" s="8">
        <v>76</v>
      </c>
      <c r="F98" s="10">
        <v>8980</v>
      </c>
      <c r="G98" s="6">
        <v>46147</v>
      </c>
      <c r="H98" s="4">
        <f t="shared" si="2"/>
        <v>10</v>
      </c>
      <c r="I98" s="4">
        <v>245</v>
      </c>
      <c r="J98" s="9">
        <v>0.50390000000000001</v>
      </c>
    </row>
    <row r="99" spans="1:10" ht="19" x14ac:dyDescent="0.25">
      <c r="A99" s="19">
        <v>46157</v>
      </c>
      <c r="B99" s="8">
        <v>0.03</v>
      </c>
      <c r="C99" s="8">
        <v>0.03</v>
      </c>
      <c r="D99" s="8">
        <v>0.04</v>
      </c>
      <c r="E99" s="8">
        <v>333</v>
      </c>
      <c r="F99" s="10">
        <v>27158</v>
      </c>
      <c r="G99" s="6">
        <v>46147</v>
      </c>
      <c r="H99" s="4">
        <f t="shared" si="2"/>
        <v>10</v>
      </c>
      <c r="I99" s="4">
        <v>250</v>
      </c>
      <c r="J99" s="9">
        <v>0.53910000000000002</v>
      </c>
    </row>
    <row r="100" spans="1:10" ht="19" x14ac:dyDescent="0.25">
      <c r="A100" s="19">
        <v>46157</v>
      </c>
      <c r="B100" s="8">
        <v>0.02</v>
      </c>
      <c r="C100" s="8">
        <v>0.01</v>
      </c>
      <c r="D100" s="8">
        <v>0.03</v>
      </c>
      <c r="E100" s="8">
        <v>116</v>
      </c>
      <c r="F100" s="10">
        <v>2380</v>
      </c>
      <c r="G100" s="6">
        <v>46147</v>
      </c>
      <c r="H100" s="4">
        <f t="shared" si="2"/>
        <v>10</v>
      </c>
      <c r="I100" s="4">
        <v>255</v>
      </c>
      <c r="J100" s="9">
        <v>0.54300000000000004</v>
      </c>
    </row>
    <row r="101" spans="1:10" ht="19" x14ac:dyDescent="0.25">
      <c r="A101" s="19">
        <v>46157</v>
      </c>
      <c r="B101" s="8">
        <v>0.01</v>
      </c>
      <c r="C101" s="8">
        <v>0.01</v>
      </c>
      <c r="D101" s="8">
        <v>0.02</v>
      </c>
      <c r="E101" s="8">
        <v>35</v>
      </c>
      <c r="F101" s="10">
        <v>2934</v>
      </c>
      <c r="G101" s="6">
        <v>46147</v>
      </c>
      <c r="H101" s="4">
        <f t="shared" si="2"/>
        <v>10</v>
      </c>
      <c r="I101" s="4">
        <v>265</v>
      </c>
      <c r="J101" s="9">
        <v>0.60160000000000002</v>
      </c>
    </row>
    <row r="102" spans="1:10" ht="19" x14ac:dyDescent="0.25">
      <c r="A102" s="18">
        <v>46164</v>
      </c>
      <c r="B102" s="1">
        <v>33.700000000000003</v>
      </c>
      <c r="C102" s="1">
        <v>33.75</v>
      </c>
      <c r="D102" s="1">
        <v>34.25</v>
      </c>
      <c r="E102" s="1">
        <v>125</v>
      </c>
      <c r="F102" s="1">
        <v>786</v>
      </c>
      <c r="G102" s="6">
        <v>46147</v>
      </c>
      <c r="H102" s="4">
        <f t="shared" ref="H102:H121" si="3">22-5</f>
        <v>17</v>
      </c>
      <c r="I102" s="4">
        <v>165</v>
      </c>
      <c r="J102" s="3">
        <v>0.71850000000000003</v>
      </c>
    </row>
    <row r="103" spans="1:10" ht="19" x14ac:dyDescent="0.25">
      <c r="A103" s="18">
        <v>46164</v>
      </c>
      <c r="B103" s="1">
        <v>29.98</v>
      </c>
      <c r="C103" s="1">
        <v>28.9</v>
      </c>
      <c r="D103" s="1">
        <v>29.85</v>
      </c>
      <c r="E103" s="1">
        <v>15</v>
      </c>
      <c r="F103" s="1">
        <v>881</v>
      </c>
      <c r="G103" s="6">
        <v>46147</v>
      </c>
      <c r="H103" s="4">
        <f t="shared" si="3"/>
        <v>17</v>
      </c>
      <c r="I103" s="4">
        <v>170</v>
      </c>
      <c r="J103" s="3">
        <v>0.67020000000000002</v>
      </c>
    </row>
    <row r="104" spans="1:10" ht="19" x14ac:dyDescent="0.25">
      <c r="A104" s="18">
        <v>46164</v>
      </c>
      <c r="B104" s="1">
        <v>26.65</v>
      </c>
      <c r="C104" s="1">
        <v>24.5</v>
      </c>
      <c r="D104" s="1">
        <v>24.95</v>
      </c>
      <c r="E104" s="1">
        <v>19</v>
      </c>
      <c r="F104" s="2">
        <v>1290</v>
      </c>
      <c r="G104" s="6">
        <v>46147</v>
      </c>
      <c r="H104" s="4">
        <f t="shared" si="3"/>
        <v>17</v>
      </c>
      <c r="I104" s="4">
        <v>175</v>
      </c>
      <c r="J104" s="3">
        <v>0.61129999999999995</v>
      </c>
    </row>
    <row r="105" spans="1:10" ht="19" x14ac:dyDescent="0.25">
      <c r="A105" s="18">
        <v>46164</v>
      </c>
      <c r="B105" s="1">
        <v>21.2</v>
      </c>
      <c r="C105" s="1">
        <v>20.399999999999999</v>
      </c>
      <c r="D105" s="1">
        <v>20.8</v>
      </c>
      <c r="E105" s="1">
        <v>26</v>
      </c>
      <c r="F105" s="2">
        <v>2450</v>
      </c>
      <c r="G105" s="6">
        <v>46147</v>
      </c>
      <c r="H105" s="4">
        <f t="shared" si="3"/>
        <v>17</v>
      </c>
      <c r="I105" s="4">
        <v>180</v>
      </c>
      <c r="J105" s="3">
        <v>0.58620000000000005</v>
      </c>
    </row>
    <row r="106" spans="1:10" ht="19" x14ac:dyDescent="0.25">
      <c r="A106" s="18">
        <v>46164</v>
      </c>
      <c r="B106" s="1">
        <v>16.899999999999999</v>
      </c>
      <c r="C106" s="1">
        <v>16.7</v>
      </c>
      <c r="D106" s="1">
        <v>16.95</v>
      </c>
      <c r="E106" s="1">
        <v>31</v>
      </c>
      <c r="F106" s="2">
        <v>3467</v>
      </c>
      <c r="G106" s="6">
        <v>46147</v>
      </c>
      <c r="H106" s="4">
        <f t="shared" si="3"/>
        <v>17</v>
      </c>
      <c r="I106" s="4">
        <v>185</v>
      </c>
      <c r="J106" s="3">
        <v>0.56779999999999997</v>
      </c>
    </row>
    <row r="107" spans="1:10" ht="19" x14ac:dyDescent="0.25">
      <c r="A107" s="18">
        <v>46164</v>
      </c>
      <c r="B107" s="1">
        <v>13.59</v>
      </c>
      <c r="C107" s="1">
        <v>13.05</v>
      </c>
      <c r="D107" s="1">
        <v>13.2</v>
      </c>
      <c r="E107" s="1">
        <v>262</v>
      </c>
      <c r="F107" s="2">
        <v>9105</v>
      </c>
      <c r="G107" s="6">
        <v>46147</v>
      </c>
      <c r="H107" s="4">
        <f t="shared" si="3"/>
        <v>17</v>
      </c>
      <c r="I107" s="4">
        <v>190</v>
      </c>
      <c r="J107" s="3">
        <v>0.53420000000000001</v>
      </c>
    </row>
    <row r="108" spans="1:10" ht="19" x14ac:dyDescent="0.25">
      <c r="A108" s="18">
        <v>46164</v>
      </c>
      <c r="B108" s="1">
        <v>10.3</v>
      </c>
      <c r="C108" s="1">
        <v>10.1</v>
      </c>
      <c r="D108" s="1">
        <v>10.25</v>
      </c>
      <c r="E108" s="1">
        <v>632</v>
      </c>
      <c r="F108" s="2">
        <v>5256</v>
      </c>
      <c r="G108" s="6">
        <v>46147</v>
      </c>
      <c r="H108" s="4">
        <f t="shared" si="3"/>
        <v>17</v>
      </c>
      <c r="I108" s="4">
        <v>195</v>
      </c>
      <c r="J108" s="3">
        <v>0.52410000000000001</v>
      </c>
    </row>
    <row r="109" spans="1:10" ht="19" x14ac:dyDescent="0.25">
      <c r="A109" s="18">
        <v>46164</v>
      </c>
      <c r="B109" s="1">
        <v>7.45</v>
      </c>
      <c r="C109" s="1">
        <v>7.45</v>
      </c>
      <c r="D109" s="1">
        <v>7.5</v>
      </c>
      <c r="E109" s="2">
        <v>1747</v>
      </c>
      <c r="F109" s="2">
        <v>17392</v>
      </c>
      <c r="G109" s="6">
        <v>46147</v>
      </c>
      <c r="H109" s="4">
        <f t="shared" si="3"/>
        <v>17</v>
      </c>
      <c r="I109" s="4">
        <v>200</v>
      </c>
      <c r="J109" s="3">
        <v>0.50390000000000001</v>
      </c>
    </row>
    <row r="110" spans="1:10" ht="19" x14ac:dyDescent="0.25">
      <c r="A110" s="18">
        <v>46164</v>
      </c>
      <c r="B110" s="1">
        <v>5.47</v>
      </c>
      <c r="C110" s="1">
        <v>5.3</v>
      </c>
      <c r="D110" s="1">
        <v>5.4</v>
      </c>
      <c r="E110" s="2">
        <v>1991</v>
      </c>
      <c r="F110" s="2">
        <v>15559</v>
      </c>
      <c r="G110" s="6">
        <v>46147</v>
      </c>
      <c r="H110" s="4">
        <f t="shared" si="3"/>
        <v>17</v>
      </c>
      <c r="I110" s="4">
        <v>205</v>
      </c>
      <c r="J110" s="3">
        <v>0.49430000000000002</v>
      </c>
    </row>
    <row r="111" spans="1:10" ht="19" x14ac:dyDescent="0.25">
      <c r="A111" s="18">
        <v>46164</v>
      </c>
      <c r="B111" s="1">
        <v>3.84</v>
      </c>
      <c r="C111" s="1">
        <v>3.85</v>
      </c>
      <c r="D111" s="1">
        <v>3.9</v>
      </c>
      <c r="E111" s="2">
        <v>1411</v>
      </c>
      <c r="F111" s="2">
        <v>11535</v>
      </c>
      <c r="G111" s="6">
        <v>46147</v>
      </c>
      <c r="H111" s="4">
        <f t="shared" si="3"/>
        <v>17</v>
      </c>
      <c r="I111" s="4">
        <v>210</v>
      </c>
      <c r="J111" s="3">
        <v>0.4945</v>
      </c>
    </row>
    <row r="112" spans="1:10" ht="19" x14ac:dyDescent="0.25">
      <c r="A112" s="18">
        <v>46164</v>
      </c>
      <c r="B112" s="1">
        <v>2.61</v>
      </c>
      <c r="C112" s="1">
        <v>2.58</v>
      </c>
      <c r="D112" s="1">
        <v>2.61</v>
      </c>
      <c r="E112" s="2">
        <v>1418</v>
      </c>
      <c r="F112" s="2">
        <v>62561</v>
      </c>
      <c r="G112" s="6">
        <v>46147</v>
      </c>
      <c r="H112" s="4">
        <f t="shared" si="3"/>
        <v>17</v>
      </c>
      <c r="I112" s="4">
        <v>215</v>
      </c>
      <c r="J112" s="3">
        <v>0.4839</v>
      </c>
    </row>
    <row r="113" spans="1:10" ht="19" x14ac:dyDescent="0.25">
      <c r="A113" s="18">
        <v>46164</v>
      </c>
      <c r="B113" s="1">
        <v>1.8</v>
      </c>
      <c r="C113" s="1">
        <v>1.73</v>
      </c>
      <c r="D113" s="1">
        <v>1.77</v>
      </c>
      <c r="E113" s="2">
        <v>1392</v>
      </c>
      <c r="F113" s="2">
        <v>15157</v>
      </c>
      <c r="G113" s="6">
        <v>46147</v>
      </c>
      <c r="H113" s="4">
        <f t="shared" si="3"/>
        <v>17</v>
      </c>
      <c r="I113" s="4">
        <v>220</v>
      </c>
      <c r="J113" s="3">
        <v>0.4829</v>
      </c>
    </row>
    <row r="114" spans="1:10" ht="19" x14ac:dyDescent="0.25">
      <c r="A114" s="18">
        <v>46164</v>
      </c>
      <c r="B114" s="1">
        <v>1.2</v>
      </c>
      <c r="C114" s="1">
        <v>1.19</v>
      </c>
      <c r="D114" s="1">
        <v>1.21</v>
      </c>
      <c r="E114" s="2">
        <v>2208</v>
      </c>
      <c r="F114" s="2">
        <v>8331</v>
      </c>
      <c r="G114" s="6">
        <v>46147</v>
      </c>
      <c r="H114" s="4">
        <f t="shared" si="3"/>
        <v>17</v>
      </c>
      <c r="I114" s="4">
        <v>225</v>
      </c>
      <c r="J114" s="3">
        <v>0.48680000000000001</v>
      </c>
    </row>
    <row r="115" spans="1:10" ht="19" x14ac:dyDescent="0.25">
      <c r="A115" s="18">
        <v>46164</v>
      </c>
      <c r="B115" s="1">
        <v>0.86</v>
      </c>
      <c r="C115" s="1">
        <v>0.81</v>
      </c>
      <c r="D115" s="1">
        <v>0.83</v>
      </c>
      <c r="E115" s="1">
        <v>420</v>
      </c>
      <c r="F115" s="2">
        <v>7891</v>
      </c>
      <c r="G115" s="6">
        <v>46147</v>
      </c>
      <c r="H115" s="4">
        <f t="shared" si="3"/>
        <v>17</v>
      </c>
      <c r="I115" s="4">
        <v>230</v>
      </c>
      <c r="J115" s="3">
        <v>0.4924</v>
      </c>
    </row>
    <row r="116" spans="1:10" ht="19" x14ac:dyDescent="0.25">
      <c r="A116" s="18">
        <v>46164</v>
      </c>
      <c r="B116" s="1">
        <v>0.61</v>
      </c>
      <c r="C116" s="1">
        <v>0.57999999999999996</v>
      </c>
      <c r="D116" s="1">
        <v>0.6</v>
      </c>
      <c r="E116" s="1">
        <v>283</v>
      </c>
      <c r="F116" s="2">
        <v>53923</v>
      </c>
      <c r="G116" s="6">
        <v>46147</v>
      </c>
      <c r="H116" s="4">
        <f t="shared" si="3"/>
        <v>17</v>
      </c>
      <c r="I116" s="4">
        <v>235</v>
      </c>
      <c r="J116" s="3">
        <v>0.50290000000000001</v>
      </c>
    </row>
    <row r="117" spans="1:10" ht="19" x14ac:dyDescent="0.25">
      <c r="A117" s="18">
        <v>46164</v>
      </c>
      <c r="B117" s="1">
        <v>0.46</v>
      </c>
      <c r="C117" s="1">
        <v>0.43</v>
      </c>
      <c r="D117" s="1">
        <v>0.44</v>
      </c>
      <c r="E117" s="1">
        <v>276</v>
      </c>
      <c r="F117" s="2">
        <v>6925</v>
      </c>
      <c r="G117" s="6">
        <v>46147</v>
      </c>
      <c r="H117" s="4">
        <f t="shared" si="3"/>
        <v>17</v>
      </c>
      <c r="I117" s="4">
        <v>240</v>
      </c>
      <c r="J117" s="3">
        <v>0.5161</v>
      </c>
    </row>
    <row r="118" spans="1:10" ht="19" x14ac:dyDescent="0.25">
      <c r="A118" s="18">
        <v>46164</v>
      </c>
      <c r="B118" s="1">
        <v>0.35</v>
      </c>
      <c r="C118" s="1">
        <v>0.33</v>
      </c>
      <c r="D118" s="1">
        <v>0.35</v>
      </c>
      <c r="E118" s="1">
        <v>99</v>
      </c>
      <c r="F118" s="2">
        <v>6184</v>
      </c>
      <c r="G118" s="6">
        <v>46147</v>
      </c>
      <c r="H118" s="4">
        <f t="shared" si="3"/>
        <v>17</v>
      </c>
      <c r="I118" s="4">
        <v>245</v>
      </c>
      <c r="J118" s="3">
        <v>0.53420000000000001</v>
      </c>
    </row>
    <row r="119" spans="1:10" ht="19" x14ac:dyDescent="0.25">
      <c r="A119" s="18">
        <v>46164</v>
      </c>
      <c r="B119" s="1">
        <v>0.27</v>
      </c>
      <c r="C119" s="1">
        <v>0.25</v>
      </c>
      <c r="D119" s="1">
        <v>0.27</v>
      </c>
      <c r="E119" s="1">
        <v>112</v>
      </c>
      <c r="F119" s="2">
        <v>7516</v>
      </c>
      <c r="G119" s="6">
        <v>46147</v>
      </c>
      <c r="H119" s="4">
        <f t="shared" si="3"/>
        <v>17</v>
      </c>
      <c r="I119" s="4">
        <v>250</v>
      </c>
      <c r="J119" s="3">
        <v>0.54879999999999995</v>
      </c>
    </row>
    <row r="120" spans="1:10" ht="19" x14ac:dyDescent="0.25">
      <c r="A120" s="18">
        <v>46164</v>
      </c>
      <c r="B120" s="1">
        <v>0.23</v>
      </c>
      <c r="C120" s="1">
        <v>0.2</v>
      </c>
      <c r="D120" s="1">
        <v>0.22</v>
      </c>
      <c r="E120" s="1">
        <v>17</v>
      </c>
      <c r="F120" s="2">
        <v>1568</v>
      </c>
      <c r="G120" s="6">
        <v>46147</v>
      </c>
      <c r="H120" s="4">
        <f t="shared" si="3"/>
        <v>17</v>
      </c>
      <c r="I120" s="4">
        <v>255</v>
      </c>
      <c r="J120" s="3">
        <v>0.56640000000000001</v>
      </c>
    </row>
    <row r="121" spans="1:10" ht="19" x14ac:dyDescent="0.25">
      <c r="A121" s="18">
        <v>46164</v>
      </c>
      <c r="B121" s="1">
        <v>0.16</v>
      </c>
      <c r="C121" s="1">
        <v>0.16</v>
      </c>
      <c r="D121" s="1">
        <v>0.17</v>
      </c>
      <c r="E121" s="1">
        <v>198</v>
      </c>
      <c r="F121" s="2">
        <v>2252</v>
      </c>
      <c r="G121" s="6">
        <v>46147</v>
      </c>
      <c r="H121" s="4">
        <f t="shared" si="3"/>
        <v>17</v>
      </c>
      <c r="I121" s="4">
        <v>260</v>
      </c>
      <c r="J121" s="3">
        <v>0.58109999999999995</v>
      </c>
    </row>
    <row r="122" spans="1:10" ht="19" x14ac:dyDescent="0.25">
      <c r="A122" s="14">
        <v>46171</v>
      </c>
      <c r="B122" s="8">
        <v>32.450000000000003</v>
      </c>
      <c r="C122" s="8">
        <v>33.5</v>
      </c>
      <c r="D122" s="8">
        <v>34.65</v>
      </c>
      <c r="E122" s="8">
        <v>43</v>
      </c>
      <c r="F122" s="8">
        <v>648</v>
      </c>
      <c r="G122" s="6">
        <v>46147</v>
      </c>
      <c r="H122" s="8">
        <v>24</v>
      </c>
      <c r="I122" s="4">
        <v>165</v>
      </c>
      <c r="J122" s="9">
        <v>0.53910000000000002</v>
      </c>
    </row>
    <row r="123" spans="1:10" ht="19" x14ac:dyDescent="0.25">
      <c r="A123" s="14">
        <v>46171</v>
      </c>
      <c r="B123" s="8">
        <v>31.23</v>
      </c>
      <c r="C123" s="8">
        <v>29.2</v>
      </c>
      <c r="D123" s="8">
        <v>30</v>
      </c>
      <c r="E123" s="8">
        <v>10</v>
      </c>
      <c r="F123" s="8">
        <v>718</v>
      </c>
      <c r="G123" s="6">
        <v>46147</v>
      </c>
      <c r="H123" s="8">
        <v>24</v>
      </c>
      <c r="I123" s="4">
        <v>170</v>
      </c>
      <c r="J123" s="9">
        <v>0.52559999999999996</v>
      </c>
    </row>
    <row r="124" spans="1:10" ht="19" x14ac:dyDescent="0.25">
      <c r="A124" s="14">
        <v>46171</v>
      </c>
      <c r="B124" s="8">
        <v>22.1</v>
      </c>
      <c r="C124" s="8">
        <v>20.7</v>
      </c>
      <c r="D124" s="8">
        <v>21.35</v>
      </c>
      <c r="E124" s="8">
        <v>78</v>
      </c>
      <c r="F124" s="10">
        <v>11748</v>
      </c>
      <c r="G124" s="6">
        <v>46147</v>
      </c>
      <c r="H124" s="8">
        <v>24</v>
      </c>
      <c r="I124" s="4">
        <v>180</v>
      </c>
      <c r="J124" s="9">
        <v>0.50529999999999997</v>
      </c>
    </row>
    <row r="125" spans="1:10" ht="19" x14ac:dyDescent="0.25">
      <c r="A125" s="14">
        <v>46171</v>
      </c>
      <c r="B125" s="8">
        <v>17.75</v>
      </c>
      <c r="C125" s="8">
        <v>17</v>
      </c>
      <c r="D125" s="8">
        <v>17.600000000000001</v>
      </c>
      <c r="E125" s="8">
        <v>159</v>
      </c>
      <c r="F125" s="10">
        <v>1324</v>
      </c>
      <c r="G125" s="6">
        <v>46147</v>
      </c>
      <c r="H125" s="8">
        <v>24</v>
      </c>
      <c r="I125" s="4">
        <v>185</v>
      </c>
      <c r="J125" s="9">
        <v>0.49299999999999999</v>
      </c>
    </row>
    <row r="126" spans="1:10" ht="19" x14ac:dyDescent="0.25">
      <c r="A126" s="14">
        <v>46171</v>
      </c>
      <c r="B126" s="8">
        <v>13.8</v>
      </c>
      <c r="C126" s="8">
        <v>13.7</v>
      </c>
      <c r="D126" s="8">
        <v>14</v>
      </c>
      <c r="E126" s="8">
        <v>80</v>
      </c>
      <c r="F126" s="10">
        <v>5836</v>
      </c>
      <c r="G126" s="6">
        <v>46147</v>
      </c>
      <c r="H126" s="8">
        <v>24</v>
      </c>
      <c r="I126" s="4">
        <v>190</v>
      </c>
      <c r="J126" s="9">
        <v>0.47170000000000001</v>
      </c>
    </row>
    <row r="127" spans="1:10" ht="19" x14ac:dyDescent="0.25">
      <c r="A127" s="14">
        <v>46171</v>
      </c>
      <c r="B127" s="8">
        <v>10.8</v>
      </c>
      <c r="C127" s="8">
        <v>10.7</v>
      </c>
      <c r="D127" s="8">
        <v>10.9</v>
      </c>
      <c r="E127" s="8">
        <v>138</v>
      </c>
      <c r="F127" s="10">
        <v>4948</v>
      </c>
      <c r="G127" s="6">
        <v>46147</v>
      </c>
      <c r="H127" s="8">
        <v>24</v>
      </c>
      <c r="I127" s="4">
        <v>195</v>
      </c>
      <c r="J127" s="9">
        <v>0.45789999999999997</v>
      </c>
    </row>
    <row r="128" spans="1:10" ht="19" x14ac:dyDescent="0.25">
      <c r="A128" s="14">
        <v>46171</v>
      </c>
      <c r="B128" s="8">
        <v>8.15</v>
      </c>
      <c r="C128" s="8">
        <v>8.15</v>
      </c>
      <c r="D128" s="8">
        <v>8.1999999999999993</v>
      </c>
      <c r="E128" s="10">
        <v>3254</v>
      </c>
      <c r="F128" s="10">
        <v>19996</v>
      </c>
      <c r="G128" s="6">
        <v>46147</v>
      </c>
      <c r="H128" s="8">
        <v>24</v>
      </c>
      <c r="I128" s="4">
        <v>200</v>
      </c>
      <c r="J128" s="9">
        <v>0.44409999999999999</v>
      </c>
    </row>
    <row r="129" spans="1:10" ht="19" x14ac:dyDescent="0.25">
      <c r="A129" s="14">
        <v>46171</v>
      </c>
      <c r="B129" s="8">
        <v>5.99</v>
      </c>
      <c r="C129" s="8">
        <v>5.9</v>
      </c>
      <c r="D129" s="8">
        <v>6.05</v>
      </c>
      <c r="E129" s="8">
        <v>585</v>
      </c>
      <c r="F129" s="10">
        <v>13313</v>
      </c>
      <c r="G129" s="6">
        <v>46147</v>
      </c>
      <c r="H129" s="8">
        <v>24</v>
      </c>
      <c r="I129" s="4">
        <v>205</v>
      </c>
      <c r="J129" s="9">
        <v>0.43630000000000002</v>
      </c>
    </row>
    <row r="130" spans="1:10" ht="19" x14ac:dyDescent="0.25">
      <c r="A130" s="14">
        <v>46171</v>
      </c>
      <c r="B130" s="8">
        <v>4.3899999999999997</v>
      </c>
      <c r="C130" s="8">
        <v>4.4000000000000004</v>
      </c>
      <c r="D130" s="8">
        <v>4.45</v>
      </c>
      <c r="E130" s="10">
        <v>2059</v>
      </c>
      <c r="F130" s="10">
        <v>14287</v>
      </c>
      <c r="G130" s="6">
        <v>46147</v>
      </c>
      <c r="H130" s="8">
        <v>24</v>
      </c>
      <c r="I130" s="4">
        <v>210</v>
      </c>
      <c r="J130" s="9">
        <v>0.436</v>
      </c>
    </row>
    <row r="131" spans="1:10" ht="19" x14ac:dyDescent="0.25">
      <c r="A131" s="14">
        <v>46171</v>
      </c>
      <c r="B131" s="8">
        <v>3.15</v>
      </c>
      <c r="C131" s="8">
        <v>3.1</v>
      </c>
      <c r="D131" s="8">
        <v>3.2</v>
      </c>
      <c r="E131" s="8">
        <v>536</v>
      </c>
      <c r="F131" s="10">
        <v>10286</v>
      </c>
      <c r="G131" s="6">
        <v>46147</v>
      </c>
      <c r="H131" s="8">
        <v>24</v>
      </c>
      <c r="I131" s="4">
        <v>215</v>
      </c>
      <c r="J131" s="9">
        <v>0.43540000000000001</v>
      </c>
    </row>
    <row r="132" spans="1:10" ht="19" x14ac:dyDescent="0.25">
      <c r="A132" s="14">
        <v>46171</v>
      </c>
      <c r="B132" s="8">
        <v>2.21</v>
      </c>
      <c r="C132" s="8">
        <v>2.19</v>
      </c>
      <c r="D132" s="8">
        <v>2.23</v>
      </c>
      <c r="E132" s="10">
        <v>1246</v>
      </c>
      <c r="F132" s="10">
        <v>13107</v>
      </c>
      <c r="G132" s="6">
        <v>46147</v>
      </c>
      <c r="H132" s="8">
        <v>24</v>
      </c>
      <c r="I132" s="4">
        <v>220</v>
      </c>
      <c r="J132" s="9">
        <v>0.43340000000000001</v>
      </c>
    </row>
    <row r="133" spans="1:10" ht="19" x14ac:dyDescent="0.25">
      <c r="A133" s="14">
        <v>46171</v>
      </c>
      <c r="B133" s="8">
        <v>1.57</v>
      </c>
      <c r="C133" s="8">
        <v>1.52</v>
      </c>
      <c r="D133" s="8">
        <v>1.57</v>
      </c>
      <c r="E133" s="8">
        <v>445</v>
      </c>
      <c r="F133" s="10">
        <v>34794</v>
      </c>
      <c r="G133" s="6">
        <v>46147</v>
      </c>
      <c r="H133" s="8">
        <v>24</v>
      </c>
      <c r="I133" s="4">
        <v>225</v>
      </c>
      <c r="J133" s="9">
        <v>0.436</v>
      </c>
    </row>
    <row r="134" spans="1:10" ht="19" x14ac:dyDescent="0.25">
      <c r="A134" s="14">
        <v>46171</v>
      </c>
      <c r="B134" s="8">
        <v>1.1000000000000001</v>
      </c>
      <c r="C134" s="8">
        <v>1.1000000000000001</v>
      </c>
      <c r="D134" s="8">
        <v>1.1200000000000001</v>
      </c>
      <c r="E134" s="8">
        <v>396</v>
      </c>
      <c r="F134" s="10">
        <v>10282</v>
      </c>
      <c r="G134" s="6">
        <v>46147</v>
      </c>
      <c r="H134" s="8">
        <v>24</v>
      </c>
      <c r="I134" s="4">
        <v>230</v>
      </c>
      <c r="J134" s="9">
        <v>0.44180000000000003</v>
      </c>
    </row>
    <row r="135" spans="1:10" ht="19" x14ac:dyDescent="0.25">
      <c r="A135" s="14">
        <v>46171</v>
      </c>
      <c r="B135" s="8">
        <v>0.81</v>
      </c>
      <c r="C135" s="8">
        <v>0.78</v>
      </c>
      <c r="D135" s="8">
        <v>0.82</v>
      </c>
      <c r="E135" s="8">
        <v>217</v>
      </c>
      <c r="F135" s="10">
        <v>13388</v>
      </c>
      <c r="G135" s="6">
        <v>46147</v>
      </c>
      <c r="H135" s="8">
        <v>24</v>
      </c>
      <c r="I135" s="4">
        <v>235</v>
      </c>
      <c r="J135" s="9">
        <v>0.45069999999999999</v>
      </c>
    </row>
    <row r="136" spans="1:10" ht="19" x14ac:dyDescent="0.25">
      <c r="A136" s="14">
        <v>46171</v>
      </c>
      <c r="B136" s="8">
        <v>0.61</v>
      </c>
      <c r="C136" s="8">
        <v>0.59</v>
      </c>
      <c r="D136" s="8">
        <v>0.6</v>
      </c>
      <c r="E136" s="10">
        <v>1530</v>
      </c>
      <c r="F136" s="10">
        <v>33722</v>
      </c>
      <c r="G136" s="6">
        <v>46147</v>
      </c>
      <c r="H136" s="8">
        <v>24</v>
      </c>
      <c r="I136" s="4">
        <v>240</v>
      </c>
      <c r="J136" s="9">
        <v>0.4592</v>
      </c>
    </row>
    <row r="137" spans="1:10" ht="19" x14ac:dyDescent="0.25">
      <c r="A137" s="14">
        <v>46171</v>
      </c>
      <c r="B137" s="8">
        <v>0.49</v>
      </c>
      <c r="C137" s="8">
        <v>0.44</v>
      </c>
      <c r="D137" s="8">
        <v>0.47</v>
      </c>
      <c r="E137" s="8">
        <v>238</v>
      </c>
      <c r="F137" s="10">
        <v>1433</v>
      </c>
      <c r="G137" s="6">
        <v>46147</v>
      </c>
      <c r="H137" s="8">
        <v>24</v>
      </c>
      <c r="I137" s="4">
        <v>245</v>
      </c>
      <c r="J137" s="9">
        <v>0.47339999999999999</v>
      </c>
    </row>
    <row r="138" spans="1:10" ht="19" x14ac:dyDescent="0.25">
      <c r="A138" s="18">
        <v>46178</v>
      </c>
      <c r="B138" s="1">
        <v>39.799999999999997</v>
      </c>
      <c r="C138" s="1">
        <v>38.5</v>
      </c>
      <c r="D138" s="1">
        <v>39.25</v>
      </c>
      <c r="E138" s="1">
        <v>18</v>
      </c>
      <c r="F138" s="2">
        <v>1024</v>
      </c>
      <c r="G138" s="6">
        <v>46147</v>
      </c>
      <c r="H138" s="4">
        <f>31</f>
        <v>31</v>
      </c>
      <c r="I138" s="4">
        <v>160</v>
      </c>
      <c r="J138" s="3">
        <v>0.52810000000000001</v>
      </c>
    </row>
    <row r="139" spans="1:10" ht="19" x14ac:dyDescent="0.25">
      <c r="A139" s="18">
        <v>46178</v>
      </c>
      <c r="B139" s="1">
        <v>30.5</v>
      </c>
      <c r="C139" s="1">
        <v>29.75</v>
      </c>
      <c r="D139" s="1">
        <v>30.45</v>
      </c>
      <c r="E139" s="1">
        <v>51</v>
      </c>
      <c r="F139" s="1">
        <v>142</v>
      </c>
      <c r="G139" s="6">
        <v>46147</v>
      </c>
      <c r="H139" s="4">
        <f>31</f>
        <v>31</v>
      </c>
      <c r="I139" s="4">
        <v>170</v>
      </c>
      <c r="J139" s="3">
        <v>0.51390000000000002</v>
      </c>
    </row>
    <row r="140" spans="1:10" ht="19" x14ac:dyDescent="0.25">
      <c r="A140" s="18">
        <v>46178</v>
      </c>
      <c r="B140" s="1">
        <v>22.34</v>
      </c>
      <c r="C140" s="1">
        <v>21.55</v>
      </c>
      <c r="D140" s="1">
        <v>22.15</v>
      </c>
      <c r="E140" s="1">
        <v>19</v>
      </c>
      <c r="F140" s="1">
        <v>349</v>
      </c>
      <c r="G140" s="6">
        <v>46147</v>
      </c>
      <c r="H140" s="4">
        <f>31</f>
        <v>31</v>
      </c>
      <c r="I140" s="4">
        <v>180</v>
      </c>
      <c r="J140" s="3">
        <v>0.49769999999999998</v>
      </c>
    </row>
    <row r="141" spans="1:10" ht="19" x14ac:dyDescent="0.25">
      <c r="A141" s="18">
        <v>46178</v>
      </c>
      <c r="B141" s="1">
        <v>14.91</v>
      </c>
      <c r="C141" s="1">
        <v>14.35</v>
      </c>
      <c r="D141" s="1">
        <v>14.85</v>
      </c>
      <c r="E141" s="1">
        <v>43</v>
      </c>
      <c r="F141" s="1">
        <v>786</v>
      </c>
      <c r="G141" s="6">
        <v>46147</v>
      </c>
      <c r="H141" s="4">
        <f>31</f>
        <v>31</v>
      </c>
      <c r="I141" s="4">
        <v>190</v>
      </c>
      <c r="J141" s="3">
        <v>0.45989999999999998</v>
      </c>
    </row>
    <row r="142" spans="1:10" ht="19" x14ac:dyDescent="0.25">
      <c r="A142" s="18">
        <v>46178</v>
      </c>
      <c r="B142" s="1">
        <v>11.6</v>
      </c>
      <c r="C142" s="1">
        <v>11.5</v>
      </c>
      <c r="D142" s="1">
        <v>11.7</v>
      </c>
      <c r="E142" s="1">
        <v>729</v>
      </c>
      <c r="F142" s="2">
        <v>3465</v>
      </c>
      <c r="G142" s="6">
        <v>46147</v>
      </c>
      <c r="H142" s="4">
        <f>31</f>
        <v>31</v>
      </c>
      <c r="I142" s="4">
        <v>195</v>
      </c>
      <c r="J142" s="3">
        <v>0.44290000000000002</v>
      </c>
    </row>
    <row r="143" spans="1:10" ht="19" x14ac:dyDescent="0.25">
      <c r="A143" s="18">
        <v>46178</v>
      </c>
      <c r="B143" s="1">
        <v>8.9499999999999993</v>
      </c>
      <c r="C143" s="1">
        <v>8.9499999999999993</v>
      </c>
      <c r="D143" s="1">
        <v>9.15</v>
      </c>
      <c r="E143" s="1">
        <v>981</v>
      </c>
      <c r="F143" s="2">
        <v>7426</v>
      </c>
      <c r="G143" s="6">
        <v>46147</v>
      </c>
      <c r="H143" s="4">
        <f>31</f>
        <v>31</v>
      </c>
      <c r="I143" s="4">
        <v>200</v>
      </c>
      <c r="J143" s="3">
        <v>0.436</v>
      </c>
    </row>
    <row r="144" spans="1:10" ht="19" x14ac:dyDescent="0.25">
      <c r="A144" s="18">
        <v>46178</v>
      </c>
      <c r="B144" s="1">
        <v>5.25</v>
      </c>
      <c r="C144" s="1">
        <v>5.15</v>
      </c>
      <c r="D144" s="1">
        <v>5.2</v>
      </c>
      <c r="E144" s="1">
        <v>594</v>
      </c>
      <c r="F144" s="2">
        <v>4902</v>
      </c>
      <c r="G144" s="6">
        <v>46147</v>
      </c>
      <c r="H144" s="4">
        <f>31</f>
        <v>31</v>
      </c>
      <c r="I144" s="4">
        <v>210</v>
      </c>
      <c r="J144" s="3">
        <v>0.42280000000000001</v>
      </c>
    </row>
    <row r="145" spans="1:10" ht="19" x14ac:dyDescent="0.25">
      <c r="A145" s="18">
        <v>46178</v>
      </c>
      <c r="B145" s="1">
        <v>3.81</v>
      </c>
      <c r="C145" s="1">
        <v>3.75</v>
      </c>
      <c r="D145" s="1">
        <v>3.85</v>
      </c>
      <c r="E145" s="1">
        <v>149</v>
      </c>
      <c r="F145" s="2">
        <v>2612</v>
      </c>
      <c r="G145" s="6">
        <v>46147</v>
      </c>
      <c r="H145" s="4">
        <f>31</f>
        <v>31</v>
      </c>
      <c r="I145" s="4">
        <v>215</v>
      </c>
      <c r="J145" s="3">
        <v>0.42080000000000001</v>
      </c>
    </row>
    <row r="146" spans="1:10" ht="19" x14ac:dyDescent="0.25">
      <c r="A146" s="18">
        <v>46178</v>
      </c>
      <c r="B146" s="1">
        <v>2.79</v>
      </c>
      <c r="C146" s="1">
        <v>2.75</v>
      </c>
      <c r="D146" s="1">
        <v>2.83</v>
      </c>
      <c r="E146" s="1">
        <v>746</v>
      </c>
      <c r="F146" s="2">
        <v>10234</v>
      </c>
      <c r="G146" s="6">
        <v>46147</v>
      </c>
      <c r="H146" s="4">
        <f>31</f>
        <v>31</v>
      </c>
      <c r="I146" s="4">
        <v>220</v>
      </c>
      <c r="J146" s="3">
        <v>0.42099999999999999</v>
      </c>
    </row>
    <row r="147" spans="1:10" ht="19" x14ac:dyDescent="0.25">
      <c r="A147" s="18">
        <v>46178</v>
      </c>
      <c r="B147" s="1">
        <v>2</v>
      </c>
      <c r="C147" s="1">
        <v>2.0099999999999998</v>
      </c>
      <c r="D147" s="1">
        <v>2.04</v>
      </c>
      <c r="E147" s="1">
        <v>138</v>
      </c>
      <c r="F147" s="2">
        <v>3435</v>
      </c>
      <c r="G147" s="6">
        <v>46147</v>
      </c>
      <c r="H147" s="4">
        <f>31</f>
        <v>31</v>
      </c>
      <c r="I147" s="4">
        <v>225</v>
      </c>
      <c r="J147" s="3">
        <v>0.42080000000000001</v>
      </c>
    </row>
    <row r="148" spans="1:10" ht="19" x14ac:dyDescent="0.25">
      <c r="A148" s="18">
        <v>46178</v>
      </c>
      <c r="B148" s="1">
        <v>1.55</v>
      </c>
      <c r="C148" s="1">
        <v>1.47</v>
      </c>
      <c r="D148" s="1">
        <v>1.52</v>
      </c>
      <c r="E148" s="1">
        <v>155</v>
      </c>
      <c r="F148" s="2">
        <v>7428</v>
      </c>
      <c r="G148" s="6">
        <v>46147</v>
      </c>
      <c r="H148" s="4">
        <f>31</f>
        <v>31</v>
      </c>
      <c r="I148" s="4">
        <v>230</v>
      </c>
      <c r="J148" s="3">
        <v>0.42649999999999999</v>
      </c>
    </row>
    <row r="149" spans="1:10" ht="19" x14ac:dyDescent="0.25">
      <c r="A149" s="18">
        <v>46178</v>
      </c>
      <c r="B149" s="1">
        <v>1.1200000000000001</v>
      </c>
      <c r="C149" s="1">
        <v>1.08</v>
      </c>
      <c r="D149" s="1">
        <v>1.1200000000000001</v>
      </c>
      <c r="E149" s="1">
        <v>38</v>
      </c>
      <c r="F149" s="2">
        <v>2197</v>
      </c>
      <c r="G149" s="6">
        <v>46147</v>
      </c>
      <c r="H149" s="4">
        <f>31</f>
        <v>31</v>
      </c>
      <c r="I149" s="4">
        <v>235</v>
      </c>
      <c r="J149" s="3">
        <v>0.43120000000000003</v>
      </c>
    </row>
    <row r="150" spans="1:10" ht="19" x14ac:dyDescent="0.25">
      <c r="A150" s="18">
        <v>46178</v>
      </c>
      <c r="B150" s="1">
        <v>0.83</v>
      </c>
      <c r="C150" s="1">
        <v>0.81</v>
      </c>
      <c r="D150" s="1">
        <v>0.86</v>
      </c>
      <c r="E150" s="1">
        <v>58</v>
      </c>
      <c r="F150" s="2">
        <v>3660</v>
      </c>
      <c r="G150" s="6">
        <v>46147</v>
      </c>
      <c r="H150" s="4">
        <f>31</f>
        <v>31</v>
      </c>
      <c r="I150" s="4">
        <v>240</v>
      </c>
      <c r="J150" s="3">
        <v>0.44040000000000001</v>
      </c>
    </row>
    <row r="151" spans="1:10" ht="19" x14ac:dyDescent="0.25">
      <c r="A151" s="18">
        <v>46178</v>
      </c>
      <c r="B151" s="1">
        <v>0.65</v>
      </c>
      <c r="C151" s="1">
        <v>0.61</v>
      </c>
      <c r="D151" s="1">
        <v>0.67</v>
      </c>
      <c r="E151" s="1">
        <v>105</v>
      </c>
      <c r="F151" s="1">
        <v>593</v>
      </c>
      <c r="G151" s="6">
        <v>46147</v>
      </c>
      <c r="H151" s="4">
        <f>31</f>
        <v>31</v>
      </c>
      <c r="I151" s="4">
        <v>245</v>
      </c>
      <c r="J151" s="3">
        <v>0.45019999999999999</v>
      </c>
    </row>
    <row r="152" spans="1:10" ht="19" x14ac:dyDescent="0.25">
      <c r="A152" s="18">
        <v>46178</v>
      </c>
      <c r="B152" s="1">
        <v>0.52</v>
      </c>
      <c r="C152" s="1">
        <v>0.49</v>
      </c>
      <c r="D152" s="1">
        <v>0.52</v>
      </c>
      <c r="E152" s="1">
        <v>59</v>
      </c>
      <c r="F152" s="2">
        <v>9002</v>
      </c>
      <c r="G152" s="6">
        <v>46147</v>
      </c>
      <c r="H152" s="4">
        <f>31</f>
        <v>31</v>
      </c>
      <c r="I152" s="4">
        <v>250</v>
      </c>
      <c r="J152" s="3">
        <v>0.4592</v>
      </c>
    </row>
    <row r="153" spans="1:10" ht="19" x14ac:dyDescent="0.25">
      <c r="A153" s="18">
        <v>46178</v>
      </c>
      <c r="B153" s="1">
        <v>0.47</v>
      </c>
      <c r="C153" s="1">
        <v>0.38</v>
      </c>
      <c r="D153" s="1">
        <v>0.42</v>
      </c>
      <c r="E153" s="1">
        <v>101</v>
      </c>
      <c r="F153" s="1">
        <v>702</v>
      </c>
      <c r="G153" s="6">
        <v>46147</v>
      </c>
      <c r="H153" s="4">
        <f>31</f>
        <v>31</v>
      </c>
      <c r="I153" s="4">
        <v>255</v>
      </c>
      <c r="J153" s="3">
        <v>0.47070000000000001</v>
      </c>
    </row>
    <row r="154" spans="1:10" ht="19" x14ac:dyDescent="0.25">
      <c r="A154" s="18">
        <v>46178</v>
      </c>
      <c r="B154" s="1">
        <v>0.27</v>
      </c>
      <c r="C154" s="1">
        <v>0.26</v>
      </c>
      <c r="D154" s="1">
        <v>0.28000000000000003</v>
      </c>
      <c r="E154" s="1">
        <v>86</v>
      </c>
      <c r="F154" s="2">
        <v>5213</v>
      </c>
      <c r="G154" s="6">
        <v>46147</v>
      </c>
      <c r="H154" s="4">
        <f>31</f>
        <v>31</v>
      </c>
      <c r="I154" s="4">
        <v>265</v>
      </c>
      <c r="J154" s="3">
        <v>0.49320000000000003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FC12-418C-C440-8BB2-E3EEAE54B669}">
  <dimension ref="A1:J27"/>
  <sheetViews>
    <sheetView topLeftCell="A8" zoomScale="125" workbookViewId="0">
      <selection activeCell="A2" sqref="A2:J27"/>
    </sheetView>
  </sheetViews>
  <sheetFormatPr baseColWidth="10" defaultRowHeight="16" x14ac:dyDescent="0.2"/>
  <cols>
    <col min="1" max="1" width="15.83203125" bestFit="1" customWidth="1"/>
    <col min="10" max="10" width="12.5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4" t="s">
        <v>8</v>
      </c>
      <c r="I1" s="5" t="s">
        <v>0</v>
      </c>
      <c r="J1" s="5" t="s">
        <v>6</v>
      </c>
    </row>
    <row r="2" spans="1:10" ht="19" x14ac:dyDescent="0.25">
      <c r="A2" s="13">
        <v>46153</v>
      </c>
      <c r="B2" s="1">
        <v>21.68</v>
      </c>
      <c r="C2" s="1">
        <v>21.8</v>
      </c>
      <c r="D2" s="1">
        <v>23.15</v>
      </c>
      <c r="E2" s="1">
        <v>166</v>
      </c>
      <c r="F2" s="1">
        <v>22</v>
      </c>
      <c r="G2" s="6">
        <v>46147</v>
      </c>
      <c r="H2" s="4">
        <f t="shared" ref="H2:H27" si="0">11-5</f>
        <v>6</v>
      </c>
      <c r="I2" s="4">
        <v>175</v>
      </c>
      <c r="J2" s="3">
        <v>0.55179999999999996</v>
      </c>
    </row>
    <row r="3" spans="1:10" ht="19" x14ac:dyDescent="0.25">
      <c r="A3" s="13">
        <v>46153</v>
      </c>
      <c r="B3" s="1">
        <v>21.15</v>
      </c>
      <c r="C3" s="1">
        <v>19.5</v>
      </c>
      <c r="D3" s="1">
        <v>20.7</v>
      </c>
      <c r="E3" s="1">
        <v>76</v>
      </c>
      <c r="F3" s="1">
        <v>32</v>
      </c>
      <c r="G3" s="6">
        <v>46147</v>
      </c>
      <c r="H3" s="4">
        <f t="shared" si="0"/>
        <v>6</v>
      </c>
      <c r="I3" s="4">
        <v>177.5</v>
      </c>
      <c r="J3" s="3">
        <v>0.53420000000000001</v>
      </c>
    </row>
    <row r="4" spans="1:10" ht="19" x14ac:dyDescent="0.25">
      <c r="A4" s="13">
        <v>46153</v>
      </c>
      <c r="B4" s="1">
        <v>19.190000000000001</v>
      </c>
      <c r="C4" s="1">
        <v>17.399999999999999</v>
      </c>
      <c r="D4" s="1">
        <v>17.95</v>
      </c>
      <c r="E4" s="1">
        <v>184</v>
      </c>
      <c r="F4" s="1">
        <v>71</v>
      </c>
      <c r="G4" s="6">
        <v>46147</v>
      </c>
      <c r="H4" s="4">
        <f t="shared" si="0"/>
        <v>6</v>
      </c>
      <c r="I4" s="4">
        <v>180</v>
      </c>
      <c r="J4" s="3">
        <v>0.55420000000000003</v>
      </c>
    </row>
    <row r="5" spans="1:10" ht="19" x14ac:dyDescent="0.25">
      <c r="A5" s="13">
        <v>46153</v>
      </c>
      <c r="B5" s="1">
        <v>13.93</v>
      </c>
      <c r="C5" s="1">
        <v>13.1</v>
      </c>
      <c r="D5" s="1">
        <v>13.25</v>
      </c>
      <c r="E5" s="1">
        <v>66</v>
      </c>
      <c r="F5" s="1">
        <v>79</v>
      </c>
      <c r="G5" s="6">
        <v>46147</v>
      </c>
      <c r="H5" s="4">
        <f t="shared" si="0"/>
        <v>6</v>
      </c>
      <c r="I5" s="4">
        <v>185</v>
      </c>
      <c r="J5" s="3">
        <v>0.47799999999999998</v>
      </c>
    </row>
    <row r="6" spans="1:10" ht="19" x14ac:dyDescent="0.25">
      <c r="A6" s="13">
        <v>46153</v>
      </c>
      <c r="B6" s="1">
        <v>6.65</v>
      </c>
      <c r="C6" s="1">
        <v>6.6</v>
      </c>
      <c r="D6" s="1">
        <v>6.75</v>
      </c>
      <c r="E6" s="1">
        <v>117</v>
      </c>
      <c r="F6" s="1">
        <v>46</v>
      </c>
      <c r="G6" s="6">
        <v>46147</v>
      </c>
      <c r="H6" s="4">
        <f t="shared" si="0"/>
        <v>6</v>
      </c>
      <c r="I6" s="4">
        <v>192.5</v>
      </c>
      <c r="J6" s="3">
        <v>0.37480000000000002</v>
      </c>
    </row>
    <row r="7" spans="1:10" ht="19" x14ac:dyDescent="0.25">
      <c r="A7" s="13">
        <v>46153</v>
      </c>
      <c r="B7" s="1">
        <v>5.0199999999999996</v>
      </c>
      <c r="C7" s="1">
        <v>4.9000000000000004</v>
      </c>
      <c r="D7" s="1">
        <v>5</v>
      </c>
      <c r="E7" s="1">
        <v>136</v>
      </c>
      <c r="F7" s="1">
        <v>329</v>
      </c>
      <c r="G7" s="6">
        <v>46147</v>
      </c>
      <c r="H7" s="4">
        <f t="shared" si="0"/>
        <v>6</v>
      </c>
      <c r="I7" s="4">
        <v>195</v>
      </c>
      <c r="J7" s="3">
        <v>0.35570000000000002</v>
      </c>
    </row>
    <row r="8" spans="1:10" ht="19" x14ac:dyDescent="0.25">
      <c r="A8" s="13">
        <v>46153</v>
      </c>
      <c r="B8" s="1">
        <v>3.5</v>
      </c>
      <c r="C8" s="1">
        <v>3.6</v>
      </c>
      <c r="D8" s="1">
        <v>3.7</v>
      </c>
      <c r="E8" s="1">
        <v>909</v>
      </c>
      <c r="F8" s="1">
        <v>677</v>
      </c>
      <c r="G8" s="6">
        <v>46147</v>
      </c>
      <c r="H8" s="4">
        <f t="shared" si="0"/>
        <v>6</v>
      </c>
      <c r="I8" s="4">
        <v>197.5</v>
      </c>
      <c r="J8" s="3">
        <v>0.35709999999999997</v>
      </c>
    </row>
    <row r="9" spans="1:10" ht="19" x14ac:dyDescent="0.25">
      <c r="A9" s="13">
        <v>46153</v>
      </c>
      <c r="B9" s="1">
        <v>2.2799999999999998</v>
      </c>
      <c r="C9" s="1">
        <v>2.34</v>
      </c>
      <c r="D9" s="1">
        <v>2.37</v>
      </c>
      <c r="E9" s="2">
        <v>3578</v>
      </c>
      <c r="F9" s="2">
        <v>1906</v>
      </c>
      <c r="G9" s="6">
        <v>46147</v>
      </c>
      <c r="H9" s="4">
        <f t="shared" si="0"/>
        <v>6</v>
      </c>
      <c r="I9" s="4">
        <v>200</v>
      </c>
      <c r="J9" s="3">
        <v>0.33129999999999998</v>
      </c>
    </row>
    <row r="10" spans="1:10" ht="19" x14ac:dyDescent="0.25">
      <c r="A10" s="13">
        <v>46153</v>
      </c>
      <c r="B10" s="1">
        <v>1.47</v>
      </c>
      <c r="C10" s="1">
        <v>1.57</v>
      </c>
      <c r="D10" s="1">
        <v>1.59</v>
      </c>
      <c r="E10" s="2">
        <v>2397</v>
      </c>
      <c r="F10" s="2">
        <v>1341</v>
      </c>
      <c r="G10" s="6">
        <v>46147</v>
      </c>
      <c r="H10" s="4">
        <f t="shared" si="0"/>
        <v>6</v>
      </c>
      <c r="I10" s="4">
        <v>202.5</v>
      </c>
      <c r="J10" s="3">
        <v>0.33279999999999998</v>
      </c>
    </row>
    <row r="11" spans="1:10" ht="19" x14ac:dyDescent="0.25">
      <c r="A11" s="13">
        <v>46153</v>
      </c>
      <c r="B11" s="1">
        <v>0.94</v>
      </c>
      <c r="C11" s="1">
        <v>0.97</v>
      </c>
      <c r="D11" s="1">
        <v>0.99</v>
      </c>
      <c r="E11" s="2">
        <v>2230</v>
      </c>
      <c r="F11" s="2">
        <v>2871</v>
      </c>
      <c r="G11" s="6">
        <v>46147</v>
      </c>
      <c r="H11" s="4">
        <f t="shared" si="0"/>
        <v>6</v>
      </c>
      <c r="I11" s="4">
        <v>205</v>
      </c>
      <c r="J11" s="3">
        <v>0.32940000000000003</v>
      </c>
    </row>
    <row r="12" spans="1:10" ht="19" x14ac:dyDescent="0.25">
      <c r="A12" s="13">
        <v>46153</v>
      </c>
      <c r="B12" s="1">
        <v>0.59</v>
      </c>
      <c r="C12" s="1">
        <v>0.57999999999999996</v>
      </c>
      <c r="D12" s="1">
        <v>0.6</v>
      </c>
      <c r="E12" s="1">
        <v>442</v>
      </c>
      <c r="F12" s="1">
        <v>674</v>
      </c>
      <c r="G12" s="6">
        <v>46147</v>
      </c>
      <c r="H12" s="4">
        <f t="shared" si="0"/>
        <v>6</v>
      </c>
      <c r="I12" s="4">
        <v>207.5</v>
      </c>
      <c r="J12" s="3">
        <v>0.3291</v>
      </c>
    </row>
    <row r="13" spans="1:10" ht="19" x14ac:dyDescent="0.25">
      <c r="A13" s="13">
        <v>46153</v>
      </c>
      <c r="B13" s="1">
        <v>0.37</v>
      </c>
      <c r="C13" s="1">
        <v>0.38</v>
      </c>
      <c r="D13" s="1">
        <v>0.39</v>
      </c>
      <c r="E13" s="2">
        <v>1899</v>
      </c>
      <c r="F13" s="2">
        <v>2858</v>
      </c>
      <c r="G13" s="6">
        <v>46147</v>
      </c>
      <c r="H13" s="4">
        <f t="shared" si="0"/>
        <v>6</v>
      </c>
      <c r="I13" s="4">
        <v>210</v>
      </c>
      <c r="J13" s="3">
        <v>0.33889999999999998</v>
      </c>
    </row>
    <row r="14" spans="1:10" ht="19" x14ac:dyDescent="0.25">
      <c r="A14" s="13">
        <v>46153</v>
      </c>
      <c r="B14" s="1">
        <v>0.25</v>
      </c>
      <c r="C14" s="1">
        <v>0.25</v>
      </c>
      <c r="D14" s="1">
        <v>0.26</v>
      </c>
      <c r="E14" s="1">
        <v>819</v>
      </c>
      <c r="F14" s="1">
        <v>867</v>
      </c>
      <c r="G14" s="6">
        <v>46147</v>
      </c>
      <c r="H14" s="4">
        <f t="shared" si="0"/>
        <v>6</v>
      </c>
      <c r="I14" s="4">
        <v>212.5</v>
      </c>
      <c r="J14" s="3">
        <v>0.35060000000000002</v>
      </c>
    </row>
    <row r="15" spans="1:10" ht="19" x14ac:dyDescent="0.25">
      <c r="A15" s="13">
        <v>46153</v>
      </c>
      <c r="B15" s="1">
        <v>0.17</v>
      </c>
      <c r="C15" s="1">
        <v>0.17</v>
      </c>
      <c r="D15" s="1">
        <v>0.18</v>
      </c>
      <c r="E15" s="2">
        <v>1625</v>
      </c>
      <c r="F15" s="2">
        <v>5039</v>
      </c>
      <c r="G15" s="6">
        <v>46147</v>
      </c>
      <c r="H15" s="4">
        <f t="shared" si="0"/>
        <v>6</v>
      </c>
      <c r="I15" s="4">
        <v>215</v>
      </c>
      <c r="J15" s="3">
        <v>0.36430000000000001</v>
      </c>
    </row>
    <row r="16" spans="1:10" ht="19" x14ac:dyDescent="0.25">
      <c r="A16" s="13">
        <v>46153</v>
      </c>
      <c r="B16" s="1">
        <v>0.14000000000000001</v>
      </c>
      <c r="C16" s="1">
        <v>0.12</v>
      </c>
      <c r="D16" s="1">
        <v>0.15</v>
      </c>
      <c r="E16" s="1">
        <v>66</v>
      </c>
      <c r="F16" s="1">
        <v>126</v>
      </c>
      <c r="G16" s="6">
        <v>46147</v>
      </c>
      <c r="H16" s="4">
        <f t="shared" si="0"/>
        <v>6</v>
      </c>
      <c r="I16" s="4">
        <v>217.5</v>
      </c>
      <c r="J16" s="3">
        <v>0.38969999999999999</v>
      </c>
    </row>
    <row r="17" spans="1:10" ht="19" x14ac:dyDescent="0.25">
      <c r="A17" s="13">
        <v>46153</v>
      </c>
      <c r="B17" s="1">
        <v>0.11</v>
      </c>
      <c r="C17" s="1">
        <v>0.1</v>
      </c>
      <c r="D17" s="1">
        <v>0.11</v>
      </c>
      <c r="E17" s="1">
        <v>454</v>
      </c>
      <c r="F17" s="2">
        <v>1930</v>
      </c>
      <c r="G17" s="6">
        <v>46147</v>
      </c>
      <c r="H17" s="4">
        <f t="shared" si="0"/>
        <v>6</v>
      </c>
      <c r="I17" s="4">
        <v>220</v>
      </c>
      <c r="J17" s="3">
        <v>0.40429999999999999</v>
      </c>
    </row>
    <row r="18" spans="1:10" ht="19" x14ac:dyDescent="0.25">
      <c r="A18" s="13">
        <v>46153</v>
      </c>
      <c r="B18" s="1">
        <v>0.09</v>
      </c>
      <c r="C18" s="1">
        <v>7.0000000000000007E-2</v>
      </c>
      <c r="D18" s="1">
        <v>0.08</v>
      </c>
      <c r="E18" s="1">
        <v>35</v>
      </c>
      <c r="F18" s="1">
        <v>77</v>
      </c>
      <c r="G18" s="6">
        <v>46147</v>
      </c>
      <c r="H18" s="4">
        <f t="shared" si="0"/>
        <v>6</v>
      </c>
      <c r="I18" s="4">
        <v>222.5</v>
      </c>
      <c r="J18" s="3">
        <v>0.41799999999999998</v>
      </c>
    </row>
    <row r="19" spans="1:10" ht="19" x14ac:dyDescent="0.25">
      <c r="A19" s="13">
        <v>46153</v>
      </c>
      <c r="B19" s="1">
        <v>0.06</v>
      </c>
      <c r="C19" s="1">
        <v>0.05</v>
      </c>
      <c r="D19" s="1">
        <v>0.06</v>
      </c>
      <c r="E19" s="1">
        <v>69</v>
      </c>
      <c r="F19" s="1">
        <v>968</v>
      </c>
      <c r="G19" s="6">
        <v>46147</v>
      </c>
      <c r="H19" s="4">
        <f t="shared" si="0"/>
        <v>6</v>
      </c>
      <c r="I19" s="4">
        <v>225</v>
      </c>
      <c r="J19" s="3">
        <v>0.43159999999999998</v>
      </c>
    </row>
    <row r="20" spans="1:10" ht="19" x14ac:dyDescent="0.25">
      <c r="A20" s="13">
        <v>46153</v>
      </c>
      <c r="B20" s="1">
        <v>7.0000000000000007E-2</v>
      </c>
      <c r="C20" s="1">
        <v>0.03</v>
      </c>
      <c r="D20" s="1">
        <v>0.05</v>
      </c>
      <c r="E20" s="1">
        <v>39</v>
      </c>
      <c r="F20" s="1">
        <v>38</v>
      </c>
      <c r="G20" s="6">
        <v>46147</v>
      </c>
      <c r="H20" s="4">
        <f t="shared" si="0"/>
        <v>6</v>
      </c>
      <c r="I20" s="4">
        <v>227.5</v>
      </c>
      <c r="J20" s="3">
        <v>0.4531</v>
      </c>
    </row>
    <row r="21" spans="1:10" ht="19" x14ac:dyDescent="0.25">
      <c r="A21" s="13">
        <v>46153</v>
      </c>
      <c r="B21" s="1">
        <v>0.03</v>
      </c>
      <c r="C21" s="1">
        <v>0.02</v>
      </c>
      <c r="D21" s="1">
        <v>0.03</v>
      </c>
      <c r="E21" s="1">
        <v>40</v>
      </c>
      <c r="F21" s="1">
        <v>621</v>
      </c>
      <c r="G21" s="6">
        <v>46147</v>
      </c>
      <c r="H21" s="4">
        <f t="shared" si="0"/>
        <v>6</v>
      </c>
      <c r="I21" s="4">
        <v>230</v>
      </c>
      <c r="J21" s="3">
        <v>0.4531</v>
      </c>
    </row>
    <row r="22" spans="1:10" ht="19" x14ac:dyDescent="0.25">
      <c r="A22" s="13">
        <v>46153</v>
      </c>
      <c r="B22" s="1">
        <v>0.04</v>
      </c>
      <c r="C22" s="1">
        <v>0.02</v>
      </c>
      <c r="D22" s="1">
        <v>0.03</v>
      </c>
      <c r="E22" s="1">
        <v>46</v>
      </c>
      <c r="F22" s="1">
        <v>44</v>
      </c>
      <c r="G22" s="6">
        <v>46147</v>
      </c>
      <c r="H22" s="4">
        <f t="shared" si="0"/>
        <v>6</v>
      </c>
      <c r="I22" s="4">
        <v>232.5</v>
      </c>
      <c r="J22" s="3">
        <v>0.48049999999999998</v>
      </c>
    </row>
    <row r="23" spans="1:10" ht="19" x14ac:dyDescent="0.25">
      <c r="A23" s="13">
        <v>46153</v>
      </c>
      <c r="B23" s="1">
        <v>0.01</v>
      </c>
      <c r="C23" s="1">
        <v>0</v>
      </c>
      <c r="D23" s="1">
        <v>0.01</v>
      </c>
      <c r="E23" s="1">
        <v>47</v>
      </c>
      <c r="F23" s="1">
        <v>8</v>
      </c>
      <c r="G23" s="6">
        <v>46147</v>
      </c>
      <c r="H23" s="4">
        <f t="shared" si="0"/>
        <v>6</v>
      </c>
      <c r="I23" s="4">
        <v>242.5</v>
      </c>
      <c r="J23" s="3">
        <v>0.5</v>
      </c>
    </row>
    <row r="24" spans="1:10" ht="19" x14ac:dyDescent="0.25">
      <c r="A24" s="13">
        <v>46153</v>
      </c>
      <c r="B24" s="1">
        <v>0.01</v>
      </c>
      <c r="C24" s="1">
        <v>0.01</v>
      </c>
      <c r="D24" s="1">
        <v>0.02</v>
      </c>
      <c r="E24" s="1">
        <v>10</v>
      </c>
      <c r="F24" s="1">
        <v>104</v>
      </c>
      <c r="G24" s="6">
        <v>46147</v>
      </c>
      <c r="H24" s="4">
        <f t="shared" si="0"/>
        <v>6</v>
      </c>
      <c r="I24" s="4">
        <v>245</v>
      </c>
      <c r="J24" s="3">
        <v>0.57030000000000003</v>
      </c>
    </row>
    <row r="25" spans="1:10" ht="19" x14ac:dyDescent="0.25">
      <c r="A25" s="13">
        <v>46153</v>
      </c>
      <c r="B25" s="1">
        <v>0.01</v>
      </c>
      <c r="C25" s="1">
        <v>0</v>
      </c>
      <c r="D25" s="1">
        <v>0.01</v>
      </c>
      <c r="E25" s="1">
        <v>58</v>
      </c>
      <c r="F25" s="1">
        <v>528</v>
      </c>
      <c r="G25" s="6">
        <v>46147</v>
      </c>
      <c r="H25" s="4">
        <f t="shared" si="0"/>
        <v>6</v>
      </c>
      <c r="I25" s="4">
        <v>250</v>
      </c>
      <c r="J25" s="3">
        <v>0.5625</v>
      </c>
    </row>
    <row r="26" spans="1:10" ht="19" x14ac:dyDescent="0.25">
      <c r="A26" s="13">
        <v>46153</v>
      </c>
      <c r="B26" s="1">
        <v>0.01</v>
      </c>
      <c r="C26" s="1">
        <v>0</v>
      </c>
      <c r="D26" s="1">
        <v>0.01</v>
      </c>
      <c r="E26" s="1">
        <v>6</v>
      </c>
      <c r="F26" s="1">
        <v>126</v>
      </c>
      <c r="G26" s="6">
        <v>46147</v>
      </c>
      <c r="H26" s="4">
        <f t="shared" si="0"/>
        <v>6</v>
      </c>
      <c r="I26" s="4">
        <v>255</v>
      </c>
      <c r="J26" s="3">
        <v>0.59379999999999999</v>
      </c>
    </row>
    <row r="27" spans="1:10" ht="19" x14ac:dyDescent="0.25">
      <c r="A27" s="13">
        <v>46153</v>
      </c>
      <c r="B27" s="1">
        <v>0.01</v>
      </c>
      <c r="C27" s="1">
        <v>0</v>
      </c>
      <c r="D27" s="1">
        <v>0.01</v>
      </c>
      <c r="E27" s="1">
        <v>15</v>
      </c>
      <c r="F27" s="1">
        <v>56</v>
      </c>
      <c r="G27" s="6">
        <v>46147</v>
      </c>
      <c r="H27" s="4">
        <f t="shared" si="0"/>
        <v>6</v>
      </c>
      <c r="I27" s="4">
        <v>265</v>
      </c>
      <c r="J27" s="3">
        <v>0.6875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ED8D-A382-EF4A-871A-00D4C5D80776}">
  <dimension ref="A1:J25"/>
  <sheetViews>
    <sheetView zoomScale="109" workbookViewId="0">
      <selection activeCell="A2" sqref="A2:J25"/>
    </sheetView>
  </sheetViews>
  <sheetFormatPr baseColWidth="10" defaultRowHeight="16" x14ac:dyDescent="0.2"/>
  <cols>
    <col min="1" max="1" width="14.5" bestFit="1" customWidth="1"/>
    <col min="2" max="10" width="11" bestFit="1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7" t="s">
        <v>9</v>
      </c>
      <c r="I1" s="5" t="s">
        <v>0</v>
      </c>
      <c r="J1" s="5" t="s">
        <v>6</v>
      </c>
    </row>
    <row r="2" spans="1:10" ht="19" x14ac:dyDescent="0.25">
      <c r="A2" s="15">
        <v>46155</v>
      </c>
      <c r="B2" s="8">
        <v>35.200000000000003</v>
      </c>
      <c r="C2" s="8">
        <v>31.8</v>
      </c>
      <c r="D2" s="8">
        <v>34.15</v>
      </c>
      <c r="E2" s="8">
        <v>100</v>
      </c>
      <c r="F2" s="8">
        <v>100</v>
      </c>
      <c r="G2" s="6">
        <v>46147</v>
      </c>
      <c r="H2" s="4">
        <f t="shared" ref="H2:H25" si="0">13-5</f>
        <v>8</v>
      </c>
      <c r="I2" s="4">
        <v>165</v>
      </c>
      <c r="J2" s="9">
        <v>0.60940000000000005</v>
      </c>
    </row>
    <row r="3" spans="1:10" ht="19" x14ac:dyDescent="0.25">
      <c r="A3" s="15">
        <v>46155</v>
      </c>
      <c r="B3" s="8">
        <v>26.94</v>
      </c>
      <c r="C3" s="8">
        <v>27.05</v>
      </c>
      <c r="D3" s="8">
        <v>29.2</v>
      </c>
      <c r="E3" s="8">
        <v>52</v>
      </c>
      <c r="F3" s="8">
        <v>7</v>
      </c>
      <c r="G3" s="6">
        <v>46147</v>
      </c>
      <c r="H3" s="4">
        <f t="shared" si="0"/>
        <v>8</v>
      </c>
      <c r="I3" s="4">
        <v>170</v>
      </c>
      <c r="J3" s="9">
        <v>0.58350000000000002</v>
      </c>
    </row>
    <row r="4" spans="1:10" ht="19" x14ac:dyDescent="0.25">
      <c r="A4" s="15">
        <v>46155</v>
      </c>
      <c r="B4" s="8">
        <v>21.97</v>
      </c>
      <c r="C4" s="8">
        <v>22.3</v>
      </c>
      <c r="D4" s="8">
        <v>24.1</v>
      </c>
      <c r="E4" s="8">
        <v>59</v>
      </c>
      <c r="F4" s="8">
        <v>33</v>
      </c>
      <c r="G4" s="6">
        <v>46147</v>
      </c>
      <c r="H4" s="4">
        <f t="shared" si="0"/>
        <v>8</v>
      </c>
      <c r="I4" s="4">
        <v>175</v>
      </c>
      <c r="J4" s="9">
        <v>0.51270000000000004</v>
      </c>
    </row>
    <row r="5" spans="1:10" ht="19" x14ac:dyDescent="0.25">
      <c r="A5" s="15">
        <v>46155</v>
      </c>
      <c r="B5" s="8">
        <v>22.85</v>
      </c>
      <c r="C5" s="8">
        <v>20.399999999999999</v>
      </c>
      <c r="D5" s="8">
        <v>21.15</v>
      </c>
      <c r="E5" s="8">
        <v>52</v>
      </c>
      <c r="F5" s="8">
        <v>7</v>
      </c>
      <c r="G5" s="6">
        <v>46147</v>
      </c>
      <c r="H5" s="4">
        <f t="shared" si="0"/>
        <v>8</v>
      </c>
      <c r="I5" s="4">
        <v>177.5</v>
      </c>
      <c r="J5" s="9">
        <v>0.56030000000000002</v>
      </c>
    </row>
    <row r="6" spans="1:10" ht="19" x14ac:dyDescent="0.25">
      <c r="A6" s="15">
        <v>46155</v>
      </c>
      <c r="B6" s="8">
        <v>14.85</v>
      </c>
      <c r="C6" s="8">
        <v>13.05</v>
      </c>
      <c r="D6" s="8">
        <v>14.25</v>
      </c>
      <c r="E6" s="8">
        <v>88</v>
      </c>
      <c r="F6" s="8">
        <v>66</v>
      </c>
      <c r="G6" s="6">
        <v>46147</v>
      </c>
      <c r="H6" s="4">
        <f t="shared" si="0"/>
        <v>8</v>
      </c>
      <c r="I6" s="4">
        <v>185</v>
      </c>
      <c r="J6" s="9">
        <v>0.4783</v>
      </c>
    </row>
    <row r="7" spans="1:10" ht="19" x14ac:dyDescent="0.25">
      <c r="A7" s="15">
        <v>46155</v>
      </c>
      <c r="B7" s="8">
        <v>12.23</v>
      </c>
      <c r="C7" s="8">
        <v>11</v>
      </c>
      <c r="D7" s="8">
        <v>11.95</v>
      </c>
      <c r="E7" s="8">
        <v>61</v>
      </c>
      <c r="F7" s="8">
        <v>136</v>
      </c>
      <c r="G7" s="6">
        <v>46147</v>
      </c>
      <c r="H7" s="4">
        <f t="shared" si="0"/>
        <v>8</v>
      </c>
      <c r="I7" s="4">
        <v>187.5</v>
      </c>
      <c r="J7" s="9">
        <v>0.43919999999999998</v>
      </c>
    </row>
    <row r="8" spans="1:10" ht="19" x14ac:dyDescent="0.25">
      <c r="A8" s="15">
        <v>46155</v>
      </c>
      <c r="B8" s="8">
        <v>7.8</v>
      </c>
      <c r="C8" s="8">
        <v>7.4</v>
      </c>
      <c r="D8" s="8">
        <v>8.0500000000000007</v>
      </c>
      <c r="E8" s="8">
        <v>34</v>
      </c>
      <c r="F8" s="8">
        <v>48</v>
      </c>
      <c r="G8" s="6">
        <v>46147</v>
      </c>
      <c r="H8" s="4">
        <f t="shared" si="0"/>
        <v>8</v>
      </c>
      <c r="I8" s="4">
        <v>192.5</v>
      </c>
      <c r="J8" s="9">
        <v>0.40660000000000002</v>
      </c>
    </row>
    <row r="9" spans="1:10" ht="19" x14ac:dyDescent="0.25">
      <c r="A9" s="15">
        <v>46155</v>
      </c>
      <c r="B9" s="8">
        <v>6</v>
      </c>
      <c r="C9" s="8">
        <v>5.75</v>
      </c>
      <c r="D9" s="8">
        <v>6.15</v>
      </c>
      <c r="E9" s="8">
        <v>42</v>
      </c>
      <c r="F9" s="8">
        <v>119</v>
      </c>
      <c r="G9" s="6">
        <v>46147</v>
      </c>
      <c r="H9" s="4">
        <f t="shared" si="0"/>
        <v>8</v>
      </c>
      <c r="I9" s="4">
        <v>195</v>
      </c>
      <c r="J9" s="9">
        <v>0.37619999999999998</v>
      </c>
    </row>
    <row r="10" spans="1:10" ht="19" x14ac:dyDescent="0.25">
      <c r="A10" s="15">
        <v>46155</v>
      </c>
      <c r="B10" s="8">
        <v>4.45</v>
      </c>
      <c r="C10" s="8">
        <v>4.4000000000000004</v>
      </c>
      <c r="D10" s="8">
        <v>4.45</v>
      </c>
      <c r="E10" s="8">
        <v>96</v>
      </c>
      <c r="F10" s="8">
        <v>232</v>
      </c>
      <c r="G10" s="6">
        <v>46147</v>
      </c>
      <c r="H10" s="4">
        <f t="shared" si="0"/>
        <v>8</v>
      </c>
      <c r="I10" s="4">
        <v>197.5</v>
      </c>
      <c r="J10" s="9">
        <v>0.34799999999999998</v>
      </c>
    </row>
    <row r="11" spans="1:10" ht="19" x14ac:dyDescent="0.25">
      <c r="A11" s="15">
        <v>46155</v>
      </c>
      <c r="B11" s="8">
        <v>3.2</v>
      </c>
      <c r="C11" s="8">
        <v>3.15</v>
      </c>
      <c r="D11" s="8">
        <v>3.25</v>
      </c>
      <c r="E11" s="10">
        <v>1085</v>
      </c>
      <c r="F11" s="10">
        <v>1163</v>
      </c>
      <c r="G11" s="6">
        <v>46147</v>
      </c>
      <c r="H11" s="4">
        <f t="shared" si="0"/>
        <v>8</v>
      </c>
      <c r="I11" s="4">
        <v>200</v>
      </c>
      <c r="J11" s="9">
        <v>0.34250000000000003</v>
      </c>
    </row>
    <row r="12" spans="1:10" ht="19" x14ac:dyDescent="0.25">
      <c r="A12" s="15">
        <v>46155</v>
      </c>
      <c r="B12" s="8">
        <v>2.35</v>
      </c>
      <c r="C12" s="8">
        <v>2.15</v>
      </c>
      <c r="D12" s="8">
        <v>2.2999999999999998</v>
      </c>
      <c r="E12" s="8">
        <v>406</v>
      </c>
      <c r="F12" s="8">
        <v>371</v>
      </c>
      <c r="G12" s="6">
        <v>46147</v>
      </c>
      <c r="H12" s="4">
        <f t="shared" si="0"/>
        <v>8</v>
      </c>
      <c r="I12" s="4">
        <v>202.5</v>
      </c>
      <c r="J12" s="9">
        <v>0.33900000000000002</v>
      </c>
    </row>
    <row r="13" spans="1:10" ht="19" x14ac:dyDescent="0.25">
      <c r="A13" s="15">
        <v>46155</v>
      </c>
      <c r="B13" s="8">
        <v>1.53</v>
      </c>
      <c r="C13" s="8">
        <v>1.5</v>
      </c>
      <c r="D13" s="8">
        <v>1.54</v>
      </c>
      <c r="E13" s="8">
        <v>585</v>
      </c>
      <c r="F13" s="10">
        <v>1056</v>
      </c>
      <c r="G13" s="6">
        <v>46147</v>
      </c>
      <c r="H13" s="4">
        <f t="shared" si="0"/>
        <v>8</v>
      </c>
      <c r="I13" s="4">
        <v>205</v>
      </c>
      <c r="J13" s="9">
        <v>0.33289999999999997</v>
      </c>
    </row>
    <row r="14" spans="1:10" ht="19" x14ac:dyDescent="0.25">
      <c r="A14" s="15">
        <v>46155</v>
      </c>
      <c r="B14" s="8">
        <v>1.07</v>
      </c>
      <c r="C14" s="8">
        <v>1.02</v>
      </c>
      <c r="D14" s="8">
        <v>1.06</v>
      </c>
      <c r="E14" s="8">
        <v>211</v>
      </c>
      <c r="F14" s="8">
        <v>302</v>
      </c>
      <c r="G14" s="6">
        <v>46147</v>
      </c>
      <c r="H14" s="4">
        <f t="shared" si="0"/>
        <v>8</v>
      </c>
      <c r="I14" s="4">
        <v>207.5</v>
      </c>
      <c r="J14" s="9">
        <v>0.3367</v>
      </c>
    </row>
    <row r="15" spans="1:10" ht="19" x14ac:dyDescent="0.25">
      <c r="A15" s="15">
        <v>46155</v>
      </c>
      <c r="B15" s="8">
        <v>0.71</v>
      </c>
      <c r="C15" s="8">
        <v>0.7</v>
      </c>
      <c r="D15" s="8">
        <v>0.72</v>
      </c>
      <c r="E15" s="8">
        <v>383</v>
      </c>
      <c r="F15" s="10">
        <v>1414</v>
      </c>
      <c r="G15" s="6">
        <v>46147</v>
      </c>
      <c r="H15" s="4">
        <f t="shared" si="0"/>
        <v>8</v>
      </c>
      <c r="I15" s="4">
        <v>210</v>
      </c>
      <c r="J15" s="9">
        <v>0.34110000000000001</v>
      </c>
    </row>
    <row r="16" spans="1:10" ht="19" x14ac:dyDescent="0.25">
      <c r="A16" s="15">
        <v>46155</v>
      </c>
      <c r="B16" s="8">
        <v>0.5</v>
      </c>
      <c r="C16" s="8">
        <v>0.47</v>
      </c>
      <c r="D16" s="8">
        <v>0.51</v>
      </c>
      <c r="E16" s="8">
        <v>147</v>
      </c>
      <c r="F16" s="8">
        <v>210</v>
      </c>
      <c r="G16" s="6">
        <v>46147</v>
      </c>
      <c r="H16" s="4">
        <f t="shared" si="0"/>
        <v>8</v>
      </c>
      <c r="I16" s="4">
        <v>212.5</v>
      </c>
      <c r="J16" s="9">
        <v>0.35060000000000002</v>
      </c>
    </row>
    <row r="17" spans="1:10" ht="19" x14ac:dyDescent="0.25">
      <c r="A17" s="15">
        <v>46155</v>
      </c>
      <c r="B17" s="8">
        <v>0.35</v>
      </c>
      <c r="C17" s="8">
        <v>0.35</v>
      </c>
      <c r="D17" s="8">
        <v>0.36</v>
      </c>
      <c r="E17" s="8">
        <v>810</v>
      </c>
      <c r="F17" s="10">
        <v>1915</v>
      </c>
      <c r="G17" s="6">
        <v>46147</v>
      </c>
      <c r="H17" s="4">
        <f t="shared" si="0"/>
        <v>8</v>
      </c>
      <c r="I17" s="4">
        <v>215</v>
      </c>
      <c r="J17" s="9">
        <v>0.3599</v>
      </c>
    </row>
    <row r="18" spans="1:10" ht="19" x14ac:dyDescent="0.25">
      <c r="A18" s="15">
        <v>46155</v>
      </c>
      <c r="B18" s="8">
        <v>0.28000000000000003</v>
      </c>
      <c r="C18" s="8">
        <v>0.24</v>
      </c>
      <c r="D18" s="8">
        <v>0.27</v>
      </c>
      <c r="E18" s="8">
        <v>32</v>
      </c>
      <c r="F18" s="8">
        <v>264</v>
      </c>
      <c r="G18" s="6">
        <v>46147</v>
      </c>
      <c r="H18" s="4">
        <f t="shared" si="0"/>
        <v>8</v>
      </c>
      <c r="I18" s="4">
        <v>217.5</v>
      </c>
      <c r="J18" s="9">
        <v>0.3735</v>
      </c>
    </row>
    <row r="19" spans="1:10" ht="19" x14ac:dyDescent="0.25">
      <c r="A19" s="15">
        <v>46155</v>
      </c>
      <c r="B19" s="8">
        <v>0.22</v>
      </c>
      <c r="C19" s="8">
        <v>0.2</v>
      </c>
      <c r="D19" s="8">
        <v>0.22</v>
      </c>
      <c r="E19" s="8">
        <v>177</v>
      </c>
      <c r="F19" s="10">
        <v>1325</v>
      </c>
      <c r="G19" s="6">
        <v>46147</v>
      </c>
      <c r="H19" s="4">
        <f t="shared" si="0"/>
        <v>8</v>
      </c>
      <c r="I19" s="4">
        <v>220</v>
      </c>
      <c r="J19" s="9">
        <v>0.3926</v>
      </c>
    </row>
    <row r="20" spans="1:10" ht="19" x14ac:dyDescent="0.25">
      <c r="A20" s="15">
        <v>46155</v>
      </c>
      <c r="B20" s="8">
        <v>0.17</v>
      </c>
      <c r="C20" s="8">
        <v>0.14000000000000001</v>
      </c>
      <c r="D20" s="8">
        <v>0.17</v>
      </c>
      <c r="E20" s="8">
        <v>103</v>
      </c>
      <c r="F20" s="8">
        <v>174</v>
      </c>
      <c r="G20" s="6">
        <v>46147</v>
      </c>
      <c r="H20" s="4">
        <f t="shared" si="0"/>
        <v>8</v>
      </c>
      <c r="I20" s="4">
        <v>222.5</v>
      </c>
      <c r="J20" s="9">
        <v>0.40629999999999999</v>
      </c>
    </row>
    <row r="21" spans="1:10" ht="19" x14ac:dyDescent="0.25">
      <c r="A21" s="15">
        <v>46155</v>
      </c>
      <c r="B21" s="8">
        <v>0.13</v>
      </c>
      <c r="C21" s="8">
        <v>0.11</v>
      </c>
      <c r="D21" s="8">
        <v>0.14000000000000001</v>
      </c>
      <c r="E21" s="8">
        <v>81</v>
      </c>
      <c r="F21" s="10">
        <v>2590</v>
      </c>
      <c r="G21" s="6">
        <v>46147</v>
      </c>
      <c r="H21" s="4">
        <f t="shared" si="0"/>
        <v>8</v>
      </c>
      <c r="I21" s="4">
        <v>225</v>
      </c>
      <c r="J21" s="9">
        <v>0.42380000000000001</v>
      </c>
    </row>
    <row r="22" spans="1:10" ht="19" x14ac:dyDescent="0.25">
      <c r="A22" s="15">
        <v>46155</v>
      </c>
      <c r="B22" s="8">
        <v>0.08</v>
      </c>
      <c r="C22" s="8">
        <v>7.0000000000000007E-2</v>
      </c>
      <c r="D22" s="8">
        <v>0.09</v>
      </c>
      <c r="E22" s="8">
        <v>73</v>
      </c>
      <c r="F22" s="8">
        <v>882</v>
      </c>
      <c r="G22" s="6">
        <v>46147</v>
      </c>
      <c r="H22" s="4">
        <f t="shared" si="0"/>
        <v>8</v>
      </c>
      <c r="I22" s="4">
        <v>230</v>
      </c>
      <c r="J22" s="9">
        <v>0.45119999999999999</v>
      </c>
    </row>
    <row r="23" spans="1:10" ht="19" x14ac:dyDescent="0.25">
      <c r="A23" s="15">
        <v>46155</v>
      </c>
      <c r="B23" s="8">
        <v>0.03</v>
      </c>
      <c r="C23" s="8">
        <v>0.01</v>
      </c>
      <c r="D23" s="8">
        <v>0.03</v>
      </c>
      <c r="E23" s="8">
        <v>41</v>
      </c>
      <c r="F23" s="8">
        <v>53</v>
      </c>
      <c r="G23" s="6">
        <v>46147</v>
      </c>
      <c r="H23" s="4">
        <f t="shared" si="0"/>
        <v>8</v>
      </c>
      <c r="I23" s="4">
        <v>245</v>
      </c>
      <c r="J23" s="9">
        <v>0.50780000000000003</v>
      </c>
    </row>
    <row r="24" spans="1:10" ht="19" x14ac:dyDescent="0.25">
      <c r="A24" s="15">
        <v>46155</v>
      </c>
      <c r="B24" s="8">
        <v>0.01</v>
      </c>
      <c r="C24" s="8">
        <v>0.01</v>
      </c>
      <c r="D24" s="8">
        <v>0.11</v>
      </c>
      <c r="E24" s="8">
        <v>20</v>
      </c>
      <c r="F24" s="8">
        <v>230</v>
      </c>
      <c r="G24" s="6">
        <v>46147</v>
      </c>
      <c r="H24" s="4">
        <f t="shared" si="0"/>
        <v>8</v>
      </c>
      <c r="I24" s="4">
        <v>250</v>
      </c>
      <c r="J24" s="9">
        <v>0.62309999999999999</v>
      </c>
    </row>
    <row r="25" spans="1:10" ht="19" x14ac:dyDescent="0.25">
      <c r="A25" s="15">
        <v>46155</v>
      </c>
      <c r="B25" s="8">
        <v>0.03</v>
      </c>
      <c r="C25" s="8">
        <v>0</v>
      </c>
      <c r="D25" s="8">
        <v>0.01</v>
      </c>
      <c r="E25" s="8">
        <v>83</v>
      </c>
      <c r="F25" s="8">
        <v>80</v>
      </c>
      <c r="G25" s="6">
        <v>46147</v>
      </c>
      <c r="H25" s="4">
        <f t="shared" si="0"/>
        <v>8</v>
      </c>
      <c r="I25" s="4">
        <v>265</v>
      </c>
      <c r="J25" s="9">
        <v>0.59379999999999999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9ED3-4593-0F44-ADED-E66429D8D7B2}">
  <dimension ref="A1:J32"/>
  <sheetViews>
    <sheetView zoomScale="125" workbookViewId="0">
      <selection activeCell="A2" sqref="A2:J32"/>
    </sheetView>
  </sheetViews>
  <sheetFormatPr baseColWidth="10" defaultRowHeight="16" x14ac:dyDescent="0.2"/>
  <cols>
    <col min="1" max="1" width="20.33203125" customWidth="1"/>
    <col min="6" max="6" width="12.1640625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7" t="s">
        <v>9</v>
      </c>
      <c r="I1" s="5" t="s">
        <v>0</v>
      </c>
      <c r="J1" s="5" t="s">
        <v>6</v>
      </c>
    </row>
    <row r="2" spans="1:10" ht="19" x14ac:dyDescent="0.25">
      <c r="A2" s="16">
        <v>46157</v>
      </c>
      <c r="B2" s="8">
        <v>32.89</v>
      </c>
      <c r="C2" s="8">
        <v>32.200000000000003</v>
      </c>
      <c r="D2" s="8">
        <v>33.1</v>
      </c>
      <c r="E2" s="8">
        <v>10</v>
      </c>
      <c r="F2" s="10">
        <v>2656</v>
      </c>
      <c r="G2" s="6">
        <v>46147</v>
      </c>
      <c r="H2" s="4">
        <f t="shared" ref="H2:H31" si="0">15-5</f>
        <v>10</v>
      </c>
      <c r="I2" s="4">
        <v>165</v>
      </c>
      <c r="J2" s="9">
        <v>0.69579999999999997</v>
      </c>
    </row>
    <row r="3" spans="1:10" ht="19" x14ac:dyDescent="0.25">
      <c r="A3" s="16">
        <v>46157</v>
      </c>
      <c r="B3" s="8">
        <v>27.6</v>
      </c>
      <c r="C3" s="8">
        <v>27.75</v>
      </c>
      <c r="D3" s="8">
        <v>28.2</v>
      </c>
      <c r="E3" s="8">
        <v>46</v>
      </c>
      <c r="F3" s="10">
        <v>10276</v>
      </c>
      <c r="G3" s="6">
        <v>46147</v>
      </c>
      <c r="H3" s="4">
        <f t="shared" si="0"/>
        <v>10</v>
      </c>
      <c r="I3" s="4">
        <v>170</v>
      </c>
      <c r="J3" s="9">
        <v>0.6653</v>
      </c>
    </row>
    <row r="4" spans="1:10" ht="19" x14ac:dyDescent="0.25">
      <c r="A4" s="16">
        <v>46157</v>
      </c>
      <c r="B4" s="8">
        <v>23.08</v>
      </c>
      <c r="C4" s="8">
        <v>22.75</v>
      </c>
      <c r="D4" s="8">
        <v>23.15</v>
      </c>
      <c r="E4" s="8">
        <v>69</v>
      </c>
      <c r="F4" s="10">
        <v>14409</v>
      </c>
      <c r="G4" s="6">
        <v>46147</v>
      </c>
      <c r="H4" s="4">
        <f t="shared" si="0"/>
        <v>10</v>
      </c>
      <c r="I4" s="4">
        <v>175</v>
      </c>
      <c r="J4" s="9">
        <v>0.56179999999999997</v>
      </c>
    </row>
    <row r="5" spans="1:10" ht="19" x14ac:dyDescent="0.25">
      <c r="A5" s="16">
        <v>46157</v>
      </c>
      <c r="B5" s="8">
        <v>18.18</v>
      </c>
      <c r="C5" s="8">
        <v>18.2</v>
      </c>
      <c r="D5" s="8">
        <v>18.600000000000001</v>
      </c>
      <c r="E5" s="8">
        <v>91</v>
      </c>
      <c r="F5" s="10">
        <v>37319</v>
      </c>
      <c r="G5" s="6">
        <v>46147</v>
      </c>
      <c r="H5" s="4">
        <f t="shared" si="0"/>
        <v>10</v>
      </c>
      <c r="I5" s="4">
        <v>180</v>
      </c>
      <c r="J5" s="9">
        <v>0.5222</v>
      </c>
    </row>
    <row r="6" spans="1:10" ht="19" x14ac:dyDescent="0.25">
      <c r="A6" s="16">
        <v>46157</v>
      </c>
      <c r="B6" s="8">
        <v>15.85</v>
      </c>
      <c r="C6" s="8">
        <v>16</v>
      </c>
      <c r="D6" s="8">
        <v>16.149999999999999</v>
      </c>
      <c r="E6" s="8">
        <v>173</v>
      </c>
      <c r="F6" s="8">
        <v>354</v>
      </c>
      <c r="G6" s="6">
        <v>46147</v>
      </c>
      <c r="H6" s="4">
        <f t="shared" si="0"/>
        <v>10</v>
      </c>
      <c r="I6" s="4">
        <v>182.5</v>
      </c>
      <c r="J6" s="9">
        <v>0.49680000000000002</v>
      </c>
    </row>
    <row r="7" spans="1:10" ht="19" x14ac:dyDescent="0.25">
      <c r="A7" s="16">
        <v>46157</v>
      </c>
      <c r="B7" s="8">
        <v>13.73</v>
      </c>
      <c r="C7" s="8">
        <v>13.95</v>
      </c>
      <c r="D7" s="8">
        <v>14.05</v>
      </c>
      <c r="E7" s="8">
        <v>116</v>
      </c>
      <c r="F7" s="10">
        <v>29675</v>
      </c>
      <c r="G7" s="6">
        <v>46147</v>
      </c>
      <c r="H7" s="4">
        <f t="shared" si="0"/>
        <v>10</v>
      </c>
      <c r="I7" s="4">
        <v>185</v>
      </c>
      <c r="J7" s="9">
        <v>0.48110000000000003</v>
      </c>
    </row>
    <row r="8" spans="1:10" ht="19" x14ac:dyDescent="0.25">
      <c r="A8" s="16">
        <v>46157</v>
      </c>
      <c r="B8" s="8">
        <v>12.57</v>
      </c>
      <c r="C8" s="8">
        <v>11.85</v>
      </c>
      <c r="D8" s="8">
        <v>12</v>
      </c>
      <c r="E8" s="8">
        <v>192</v>
      </c>
      <c r="F8" s="8">
        <v>625</v>
      </c>
      <c r="G8" s="6">
        <v>46147</v>
      </c>
      <c r="H8" s="4">
        <f t="shared" si="0"/>
        <v>10</v>
      </c>
      <c r="I8" s="4">
        <v>187.5</v>
      </c>
      <c r="J8" s="9">
        <v>0.46189999999999998</v>
      </c>
    </row>
    <row r="9" spans="1:10" ht="19" x14ac:dyDescent="0.25">
      <c r="A9" s="16">
        <v>46157</v>
      </c>
      <c r="B9" s="8">
        <v>9.66</v>
      </c>
      <c r="C9" s="8">
        <v>9.6999999999999993</v>
      </c>
      <c r="D9" s="8">
        <v>9.8000000000000007</v>
      </c>
      <c r="E9" s="8">
        <v>597</v>
      </c>
      <c r="F9" s="10">
        <v>42729</v>
      </c>
      <c r="G9" s="6">
        <v>46147</v>
      </c>
      <c r="H9" s="4">
        <f t="shared" si="0"/>
        <v>10</v>
      </c>
      <c r="I9" s="4">
        <v>190</v>
      </c>
      <c r="J9" s="9">
        <v>0.4219</v>
      </c>
    </row>
    <row r="10" spans="1:10" ht="19" x14ac:dyDescent="0.25">
      <c r="A10" s="16">
        <v>46157</v>
      </c>
      <c r="B10" s="8">
        <v>8.0399999999999991</v>
      </c>
      <c r="C10" s="8">
        <v>8</v>
      </c>
      <c r="D10" s="8">
        <v>8.0500000000000007</v>
      </c>
      <c r="E10" s="8">
        <v>125</v>
      </c>
      <c r="F10" s="10">
        <v>3031</v>
      </c>
      <c r="G10" s="6">
        <v>46147</v>
      </c>
      <c r="H10" s="4">
        <f t="shared" si="0"/>
        <v>10</v>
      </c>
      <c r="I10" s="4">
        <v>192.5</v>
      </c>
      <c r="J10" s="9">
        <v>0.41070000000000001</v>
      </c>
    </row>
    <row r="11" spans="1:10" ht="19" x14ac:dyDescent="0.25">
      <c r="A11" s="16">
        <v>46157</v>
      </c>
      <c r="B11" s="8">
        <v>6.5</v>
      </c>
      <c r="C11" s="8">
        <v>6.4</v>
      </c>
      <c r="D11" s="8">
        <v>6.5</v>
      </c>
      <c r="E11" s="10">
        <v>1323</v>
      </c>
      <c r="F11" s="10">
        <v>70528</v>
      </c>
      <c r="G11" s="6">
        <v>46147</v>
      </c>
      <c r="H11" s="4">
        <f t="shared" si="0"/>
        <v>10</v>
      </c>
      <c r="I11" s="4">
        <v>195</v>
      </c>
      <c r="J11" s="9">
        <v>0.40260000000000001</v>
      </c>
    </row>
    <row r="12" spans="1:10" ht="19" x14ac:dyDescent="0.25">
      <c r="A12" s="16">
        <v>46157</v>
      </c>
      <c r="B12" s="8">
        <v>5</v>
      </c>
      <c r="C12" s="8">
        <v>5</v>
      </c>
      <c r="D12" s="8">
        <v>5.0999999999999996</v>
      </c>
      <c r="E12" s="10">
        <v>1340</v>
      </c>
      <c r="F12" s="10">
        <v>3117</v>
      </c>
      <c r="G12" s="6">
        <v>46147</v>
      </c>
      <c r="H12" s="4">
        <f t="shared" si="0"/>
        <v>10</v>
      </c>
      <c r="I12" s="4">
        <v>197.5</v>
      </c>
      <c r="J12" s="9">
        <v>0.39279999999999998</v>
      </c>
    </row>
    <row r="13" spans="1:10" ht="19" x14ac:dyDescent="0.25">
      <c r="A13" s="16">
        <v>46157</v>
      </c>
      <c r="B13" s="8">
        <v>3.85</v>
      </c>
      <c r="C13" s="8">
        <v>3.8</v>
      </c>
      <c r="D13" s="8">
        <v>3.85</v>
      </c>
      <c r="E13" s="10">
        <v>9595</v>
      </c>
      <c r="F13" s="10">
        <v>138254</v>
      </c>
      <c r="G13" s="6">
        <v>46147</v>
      </c>
      <c r="H13" s="4">
        <f t="shared" si="0"/>
        <v>10</v>
      </c>
      <c r="I13" s="4">
        <v>200</v>
      </c>
      <c r="J13" s="9">
        <v>0.3805</v>
      </c>
    </row>
    <row r="14" spans="1:10" ht="19" x14ac:dyDescent="0.25">
      <c r="A14" s="16">
        <v>46157</v>
      </c>
      <c r="B14" s="8">
        <v>2.85</v>
      </c>
      <c r="C14" s="8">
        <v>2.79</v>
      </c>
      <c r="D14" s="8">
        <v>2.82</v>
      </c>
      <c r="E14" s="10">
        <v>2845</v>
      </c>
      <c r="F14" s="10">
        <v>10868</v>
      </c>
      <c r="G14" s="6">
        <v>46147</v>
      </c>
      <c r="H14" s="4">
        <f t="shared" si="0"/>
        <v>10</v>
      </c>
      <c r="I14" s="4">
        <v>202.5</v>
      </c>
      <c r="J14" s="9">
        <v>0.37019999999999997</v>
      </c>
    </row>
    <row r="15" spans="1:10" ht="19" x14ac:dyDescent="0.25">
      <c r="A15" s="16">
        <v>46157</v>
      </c>
      <c r="B15" s="8">
        <v>2.0299999999999998</v>
      </c>
      <c r="C15" s="8">
        <v>2.0099999999999998</v>
      </c>
      <c r="D15" s="8">
        <v>2.0299999999999998</v>
      </c>
      <c r="E15" s="10">
        <v>12522</v>
      </c>
      <c r="F15" s="10">
        <v>50497</v>
      </c>
      <c r="G15" s="6">
        <v>46147</v>
      </c>
      <c r="H15" s="4">
        <f t="shared" si="0"/>
        <v>10</v>
      </c>
      <c r="I15" s="4">
        <v>205</v>
      </c>
      <c r="J15" s="9">
        <v>0.36409999999999998</v>
      </c>
    </row>
    <row r="16" spans="1:10" ht="19" x14ac:dyDescent="0.25">
      <c r="A16" s="16">
        <v>46157</v>
      </c>
      <c r="B16" s="8">
        <v>1.43</v>
      </c>
      <c r="C16" s="8">
        <v>1.44</v>
      </c>
      <c r="D16" s="8">
        <v>1.46</v>
      </c>
      <c r="E16" s="8">
        <v>460</v>
      </c>
      <c r="F16" s="10">
        <v>9851</v>
      </c>
      <c r="G16" s="6">
        <v>46147</v>
      </c>
      <c r="H16" s="4">
        <f t="shared" si="0"/>
        <v>10</v>
      </c>
      <c r="I16" s="4">
        <v>207.5</v>
      </c>
      <c r="J16" s="9">
        <v>0.36299999999999999</v>
      </c>
    </row>
    <row r="17" spans="1:10" ht="19" x14ac:dyDescent="0.25">
      <c r="A17" s="16">
        <v>46157</v>
      </c>
      <c r="B17" s="8">
        <v>1.02</v>
      </c>
      <c r="C17" s="8">
        <v>1.02</v>
      </c>
      <c r="D17" s="8">
        <v>1.04</v>
      </c>
      <c r="E17" s="10">
        <v>10193</v>
      </c>
      <c r="F17" s="10">
        <v>82880</v>
      </c>
      <c r="G17" s="6">
        <v>46147</v>
      </c>
      <c r="H17" s="4">
        <f t="shared" si="0"/>
        <v>10</v>
      </c>
      <c r="I17" s="4">
        <v>210</v>
      </c>
      <c r="J17" s="9">
        <v>0.36380000000000001</v>
      </c>
    </row>
    <row r="18" spans="1:10" ht="19" x14ac:dyDescent="0.25">
      <c r="A18" s="16">
        <v>46157</v>
      </c>
      <c r="B18" s="8">
        <v>0.69</v>
      </c>
      <c r="C18" s="8">
        <v>0.71</v>
      </c>
      <c r="D18" s="8">
        <v>0.72</v>
      </c>
      <c r="E18" s="10">
        <v>2140</v>
      </c>
      <c r="F18" s="10">
        <v>15443</v>
      </c>
      <c r="G18" s="6">
        <v>46147</v>
      </c>
      <c r="H18" s="4">
        <f t="shared" si="0"/>
        <v>10</v>
      </c>
      <c r="I18" s="4">
        <v>212.5</v>
      </c>
      <c r="J18" s="9">
        <v>0.36380000000000001</v>
      </c>
    </row>
    <row r="19" spans="1:10" ht="19" x14ac:dyDescent="0.25">
      <c r="A19" s="16">
        <v>46157</v>
      </c>
      <c r="B19" s="8">
        <v>0.51</v>
      </c>
      <c r="C19" s="8">
        <v>0.51</v>
      </c>
      <c r="D19" s="8">
        <v>0.52</v>
      </c>
      <c r="E19" s="10">
        <v>6317</v>
      </c>
      <c r="F19" s="10">
        <v>52978</v>
      </c>
      <c r="G19" s="6">
        <v>46147</v>
      </c>
      <c r="H19" s="4">
        <f t="shared" si="0"/>
        <v>10</v>
      </c>
      <c r="I19" s="4">
        <v>215</v>
      </c>
      <c r="J19" s="9">
        <v>0.36909999999999998</v>
      </c>
    </row>
    <row r="20" spans="1:10" ht="19" x14ac:dyDescent="0.25">
      <c r="A20" s="16">
        <v>46157</v>
      </c>
      <c r="B20" s="8">
        <v>0.37</v>
      </c>
      <c r="C20" s="8">
        <v>0.37</v>
      </c>
      <c r="D20" s="8">
        <v>0.38</v>
      </c>
      <c r="E20" s="10">
        <v>1360</v>
      </c>
      <c r="F20" s="10">
        <v>9800</v>
      </c>
      <c r="G20" s="6">
        <v>46147</v>
      </c>
      <c r="H20" s="4">
        <f t="shared" si="0"/>
        <v>10</v>
      </c>
      <c r="I20" s="4">
        <v>217.5</v>
      </c>
      <c r="J20" s="9">
        <v>0.3765</v>
      </c>
    </row>
    <row r="21" spans="1:10" ht="19" x14ac:dyDescent="0.25">
      <c r="A21" s="16">
        <v>46157</v>
      </c>
      <c r="B21" s="8">
        <v>0.28999999999999998</v>
      </c>
      <c r="C21" s="8">
        <v>0.28000000000000003</v>
      </c>
      <c r="D21" s="8">
        <v>0.28999999999999998</v>
      </c>
      <c r="E21" s="10">
        <v>11363</v>
      </c>
      <c r="F21" s="10">
        <v>56348</v>
      </c>
      <c r="G21" s="6">
        <v>46147</v>
      </c>
      <c r="H21" s="4">
        <f t="shared" si="0"/>
        <v>10</v>
      </c>
      <c r="I21" s="4">
        <v>220</v>
      </c>
      <c r="J21" s="9">
        <v>0.38669999999999999</v>
      </c>
    </row>
    <row r="22" spans="1:10" ht="19" x14ac:dyDescent="0.25">
      <c r="A22" s="16">
        <v>46157</v>
      </c>
      <c r="B22" s="8">
        <v>0.22</v>
      </c>
      <c r="C22" s="8">
        <v>0.21</v>
      </c>
      <c r="D22" s="8">
        <v>0.23</v>
      </c>
      <c r="E22" s="8">
        <v>100</v>
      </c>
      <c r="F22" s="10">
        <v>4422</v>
      </c>
      <c r="G22" s="6">
        <v>46147</v>
      </c>
      <c r="H22" s="4">
        <f t="shared" si="0"/>
        <v>10</v>
      </c>
      <c r="I22" s="4">
        <v>222.5</v>
      </c>
      <c r="J22" s="9">
        <v>0.39939999999999998</v>
      </c>
    </row>
    <row r="23" spans="1:10" ht="19" x14ac:dyDescent="0.25">
      <c r="A23" s="16">
        <v>46157</v>
      </c>
      <c r="B23" s="8">
        <v>0.18</v>
      </c>
      <c r="C23" s="8">
        <v>0.17</v>
      </c>
      <c r="D23" s="8">
        <v>0.18</v>
      </c>
      <c r="E23" s="10">
        <v>2397</v>
      </c>
      <c r="F23" s="10">
        <v>18644</v>
      </c>
      <c r="G23" s="6">
        <v>46147</v>
      </c>
      <c r="H23" s="4">
        <f t="shared" si="0"/>
        <v>10</v>
      </c>
      <c r="I23" s="4">
        <v>225</v>
      </c>
      <c r="J23" s="9">
        <v>0.41020000000000001</v>
      </c>
    </row>
    <row r="24" spans="1:10" ht="19" x14ac:dyDescent="0.25">
      <c r="A24" s="16">
        <v>46157</v>
      </c>
      <c r="B24" s="8">
        <v>0.14000000000000001</v>
      </c>
      <c r="C24" s="8">
        <v>0.14000000000000001</v>
      </c>
      <c r="D24" s="8">
        <v>0.15</v>
      </c>
      <c r="E24" s="8">
        <v>58</v>
      </c>
      <c r="F24" s="8">
        <v>514</v>
      </c>
      <c r="G24" s="6">
        <v>46147</v>
      </c>
      <c r="H24" s="4">
        <f t="shared" si="0"/>
        <v>10</v>
      </c>
      <c r="I24" s="4">
        <v>227.5</v>
      </c>
      <c r="J24" s="9">
        <v>0.42480000000000001</v>
      </c>
    </row>
    <row r="25" spans="1:10" ht="19" x14ac:dyDescent="0.25">
      <c r="A25" s="16">
        <v>46157</v>
      </c>
      <c r="B25" s="8">
        <v>0.12</v>
      </c>
      <c r="C25" s="8">
        <v>0.11</v>
      </c>
      <c r="D25" s="8">
        <v>0.12</v>
      </c>
      <c r="E25" s="10">
        <v>1547</v>
      </c>
      <c r="F25" s="10">
        <v>42975</v>
      </c>
      <c r="G25" s="6">
        <v>46147</v>
      </c>
      <c r="H25" s="4">
        <f t="shared" si="0"/>
        <v>10</v>
      </c>
      <c r="I25" s="4">
        <v>230</v>
      </c>
      <c r="J25" s="9">
        <v>0.43559999999999999</v>
      </c>
    </row>
    <row r="26" spans="1:10" ht="19" x14ac:dyDescent="0.25">
      <c r="A26" s="16">
        <v>46157</v>
      </c>
      <c r="B26" s="8">
        <v>0.12</v>
      </c>
      <c r="C26" s="8">
        <v>0.09</v>
      </c>
      <c r="D26" s="8">
        <v>0.1</v>
      </c>
      <c r="E26" s="8">
        <v>10</v>
      </c>
      <c r="F26" s="8">
        <v>263</v>
      </c>
      <c r="G26" s="6">
        <v>46147</v>
      </c>
      <c r="H26" s="4">
        <f t="shared" si="0"/>
        <v>10</v>
      </c>
      <c r="I26" s="4">
        <v>232.5</v>
      </c>
      <c r="J26" s="9">
        <v>0.44919999999999999</v>
      </c>
    </row>
    <row r="27" spans="1:10" ht="19" x14ac:dyDescent="0.25">
      <c r="A27" s="16">
        <v>46157</v>
      </c>
      <c r="B27" s="8">
        <v>7.0000000000000007E-2</v>
      </c>
      <c r="C27" s="8">
        <v>7.0000000000000007E-2</v>
      </c>
      <c r="D27" s="8">
        <v>0.09</v>
      </c>
      <c r="E27" s="8">
        <v>494</v>
      </c>
      <c r="F27" s="10">
        <v>59582</v>
      </c>
      <c r="G27" s="6">
        <v>46147</v>
      </c>
      <c r="H27" s="4">
        <f t="shared" si="0"/>
        <v>10</v>
      </c>
      <c r="I27" s="4">
        <v>235</v>
      </c>
      <c r="J27" s="9">
        <v>0.46679999999999999</v>
      </c>
    </row>
    <row r="28" spans="1:10" ht="19" x14ac:dyDescent="0.25">
      <c r="A28" s="16">
        <v>46157</v>
      </c>
      <c r="B28" s="8">
        <v>0.05</v>
      </c>
      <c r="C28" s="8">
        <v>0.05</v>
      </c>
      <c r="D28" s="8">
        <v>0.06</v>
      </c>
      <c r="E28" s="10">
        <v>1241</v>
      </c>
      <c r="F28" s="10">
        <v>29180</v>
      </c>
      <c r="G28" s="6">
        <v>46147</v>
      </c>
      <c r="H28" s="4">
        <f t="shared" si="0"/>
        <v>10</v>
      </c>
      <c r="I28" s="4">
        <v>240</v>
      </c>
      <c r="J28" s="9">
        <v>0.48630000000000001</v>
      </c>
    </row>
    <row r="29" spans="1:10" ht="19" x14ac:dyDescent="0.25">
      <c r="A29" s="16">
        <v>46157</v>
      </c>
      <c r="B29" s="8">
        <v>0.04</v>
      </c>
      <c r="C29" s="8">
        <v>0.03</v>
      </c>
      <c r="D29" s="8">
        <v>0.04</v>
      </c>
      <c r="E29" s="8">
        <v>76</v>
      </c>
      <c r="F29" s="10">
        <v>8980</v>
      </c>
      <c r="G29" s="6">
        <v>46147</v>
      </c>
      <c r="H29" s="4">
        <f t="shared" si="0"/>
        <v>10</v>
      </c>
      <c r="I29" s="4">
        <v>245</v>
      </c>
      <c r="J29" s="9">
        <v>0.50390000000000001</v>
      </c>
    </row>
    <row r="30" spans="1:10" ht="19" x14ac:dyDescent="0.25">
      <c r="A30" s="16">
        <v>46157</v>
      </c>
      <c r="B30" s="8">
        <v>0.03</v>
      </c>
      <c r="C30" s="8">
        <v>0.03</v>
      </c>
      <c r="D30" s="8">
        <v>0.04</v>
      </c>
      <c r="E30" s="8">
        <v>333</v>
      </c>
      <c r="F30" s="10">
        <v>27158</v>
      </c>
      <c r="G30" s="6">
        <v>46147</v>
      </c>
      <c r="H30" s="4">
        <f t="shared" si="0"/>
        <v>10</v>
      </c>
      <c r="I30" s="4">
        <v>250</v>
      </c>
      <c r="J30" s="9">
        <v>0.53910000000000002</v>
      </c>
    </row>
    <row r="31" spans="1:10" ht="19" x14ac:dyDescent="0.25">
      <c r="A31" s="16">
        <v>46157</v>
      </c>
      <c r="B31" s="8">
        <v>0.02</v>
      </c>
      <c r="C31" s="8">
        <v>0.01</v>
      </c>
      <c r="D31" s="8">
        <v>0.03</v>
      </c>
      <c r="E31" s="8">
        <v>116</v>
      </c>
      <c r="F31" s="10">
        <v>2380</v>
      </c>
      <c r="G31" s="6">
        <v>46147</v>
      </c>
      <c r="H31" s="4">
        <f t="shared" si="0"/>
        <v>10</v>
      </c>
      <c r="I31" s="4">
        <v>255</v>
      </c>
      <c r="J31" s="9">
        <v>0.54300000000000004</v>
      </c>
    </row>
    <row r="32" spans="1:10" ht="19" x14ac:dyDescent="0.25">
      <c r="A32" s="16">
        <v>46157</v>
      </c>
      <c r="B32" s="8">
        <v>0.01</v>
      </c>
      <c r="C32" s="8">
        <v>0.01</v>
      </c>
      <c r="D32" s="8">
        <v>0.02</v>
      </c>
      <c r="E32" s="8">
        <v>35</v>
      </c>
      <c r="F32" s="10">
        <v>2934</v>
      </c>
      <c r="G32" s="6">
        <v>46147</v>
      </c>
      <c r="H32" s="4">
        <f t="shared" ref="H32" si="1">15-5</f>
        <v>10</v>
      </c>
      <c r="I32" s="4">
        <v>265</v>
      </c>
      <c r="J32" s="9">
        <v>0.60160000000000002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9F85-0D83-4C4A-A05F-B0D5C2BB847E}">
  <dimension ref="A1:J21"/>
  <sheetViews>
    <sheetView zoomScale="125" workbookViewId="0">
      <selection activeCell="A2" sqref="A2:J21"/>
    </sheetView>
  </sheetViews>
  <sheetFormatPr baseColWidth="10" defaultRowHeight="16" x14ac:dyDescent="0.2"/>
  <cols>
    <col min="1" max="1" width="16.1640625" bestFit="1" customWidth="1"/>
    <col min="2" max="5" width="11" bestFit="1" customWidth="1"/>
    <col min="6" max="6" width="13.83203125" customWidth="1"/>
    <col min="7" max="10" width="11" bestFit="1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7" t="s">
        <v>9</v>
      </c>
      <c r="I1" s="5" t="s">
        <v>0</v>
      </c>
      <c r="J1" s="5" t="s">
        <v>6</v>
      </c>
    </row>
    <row r="2" spans="1:10" ht="19" x14ac:dyDescent="0.25">
      <c r="A2" s="13">
        <v>46164</v>
      </c>
      <c r="B2" s="1">
        <v>33.700000000000003</v>
      </c>
      <c r="C2" s="1">
        <v>33.75</v>
      </c>
      <c r="D2" s="1">
        <v>34.25</v>
      </c>
      <c r="E2" s="1">
        <v>125</v>
      </c>
      <c r="F2" s="1">
        <v>786</v>
      </c>
      <c r="G2" s="6">
        <v>46147</v>
      </c>
      <c r="H2" s="4">
        <f t="shared" ref="H2:H21" si="0">22-5</f>
        <v>17</v>
      </c>
      <c r="I2" s="4">
        <v>165</v>
      </c>
      <c r="J2" s="3">
        <v>0.71850000000000003</v>
      </c>
    </row>
    <row r="3" spans="1:10" ht="19" x14ac:dyDescent="0.25">
      <c r="A3" s="13">
        <v>46164</v>
      </c>
      <c r="B3" s="1">
        <v>29.98</v>
      </c>
      <c r="C3" s="1">
        <v>28.9</v>
      </c>
      <c r="D3" s="1">
        <v>29.85</v>
      </c>
      <c r="E3" s="1">
        <v>15</v>
      </c>
      <c r="F3" s="1">
        <v>881</v>
      </c>
      <c r="G3" s="6">
        <v>46147</v>
      </c>
      <c r="H3" s="4">
        <f t="shared" si="0"/>
        <v>17</v>
      </c>
      <c r="I3" s="4">
        <v>170</v>
      </c>
      <c r="J3" s="3">
        <v>0.67020000000000002</v>
      </c>
    </row>
    <row r="4" spans="1:10" ht="19" x14ac:dyDescent="0.25">
      <c r="A4" s="13">
        <v>46164</v>
      </c>
      <c r="B4" s="1">
        <v>26.65</v>
      </c>
      <c r="C4" s="1">
        <v>24.5</v>
      </c>
      <c r="D4" s="1">
        <v>24.95</v>
      </c>
      <c r="E4" s="1">
        <v>19</v>
      </c>
      <c r="F4" s="2">
        <v>1290</v>
      </c>
      <c r="G4" s="6">
        <v>46147</v>
      </c>
      <c r="H4" s="4">
        <f t="shared" si="0"/>
        <v>17</v>
      </c>
      <c r="I4" s="4">
        <v>175</v>
      </c>
      <c r="J4" s="3">
        <v>0.61129999999999995</v>
      </c>
    </row>
    <row r="5" spans="1:10" ht="19" x14ac:dyDescent="0.25">
      <c r="A5" s="13">
        <v>46164</v>
      </c>
      <c r="B5" s="1">
        <v>21.2</v>
      </c>
      <c r="C5" s="1">
        <v>20.399999999999999</v>
      </c>
      <c r="D5" s="1">
        <v>20.8</v>
      </c>
      <c r="E5" s="1">
        <v>26</v>
      </c>
      <c r="F5" s="2">
        <v>2450</v>
      </c>
      <c r="G5" s="6">
        <v>46147</v>
      </c>
      <c r="H5" s="4">
        <f t="shared" si="0"/>
        <v>17</v>
      </c>
      <c r="I5" s="4">
        <v>180</v>
      </c>
      <c r="J5" s="3">
        <v>0.58620000000000005</v>
      </c>
    </row>
    <row r="6" spans="1:10" ht="19" x14ac:dyDescent="0.25">
      <c r="A6" s="13">
        <v>46164</v>
      </c>
      <c r="B6" s="1">
        <v>16.899999999999999</v>
      </c>
      <c r="C6" s="1">
        <v>16.7</v>
      </c>
      <c r="D6" s="1">
        <v>16.95</v>
      </c>
      <c r="E6" s="1">
        <v>31</v>
      </c>
      <c r="F6" s="2">
        <v>3467</v>
      </c>
      <c r="G6" s="6">
        <v>46147</v>
      </c>
      <c r="H6" s="4">
        <f t="shared" si="0"/>
        <v>17</v>
      </c>
      <c r="I6" s="4">
        <v>185</v>
      </c>
      <c r="J6" s="3">
        <v>0.56779999999999997</v>
      </c>
    </row>
    <row r="7" spans="1:10" ht="19" x14ac:dyDescent="0.25">
      <c r="A7" s="13">
        <v>46164</v>
      </c>
      <c r="B7" s="1">
        <v>13.59</v>
      </c>
      <c r="C7" s="1">
        <v>13.05</v>
      </c>
      <c r="D7" s="1">
        <v>13.2</v>
      </c>
      <c r="E7" s="1">
        <v>262</v>
      </c>
      <c r="F7" s="2">
        <v>9105</v>
      </c>
      <c r="G7" s="6">
        <v>46147</v>
      </c>
      <c r="H7" s="4">
        <f t="shared" si="0"/>
        <v>17</v>
      </c>
      <c r="I7" s="4">
        <v>190</v>
      </c>
      <c r="J7" s="3">
        <v>0.53420000000000001</v>
      </c>
    </row>
    <row r="8" spans="1:10" ht="19" x14ac:dyDescent="0.25">
      <c r="A8" s="13">
        <v>46164</v>
      </c>
      <c r="B8" s="1">
        <v>10.3</v>
      </c>
      <c r="C8" s="1">
        <v>10.1</v>
      </c>
      <c r="D8" s="1">
        <v>10.25</v>
      </c>
      <c r="E8" s="1">
        <v>632</v>
      </c>
      <c r="F8" s="2">
        <v>5256</v>
      </c>
      <c r="G8" s="6">
        <v>46147</v>
      </c>
      <c r="H8" s="4">
        <f t="shared" si="0"/>
        <v>17</v>
      </c>
      <c r="I8" s="4">
        <v>195</v>
      </c>
      <c r="J8" s="3">
        <v>0.52410000000000001</v>
      </c>
    </row>
    <row r="9" spans="1:10" ht="19" x14ac:dyDescent="0.25">
      <c r="A9" s="13">
        <v>46164</v>
      </c>
      <c r="B9" s="1">
        <v>7.45</v>
      </c>
      <c r="C9" s="1">
        <v>7.45</v>
      </c>
      <c r="D9" s="1">
        <v>7.5</v>
      </c>
      <c r="E9" s="2">
        <v>1747</v>
      </c>
      <c r="F9" s="2">
        <v>17392</v>
      </c>
      <c r="G9" s="6">
        <v>46147</v>
      </c>
      <c r="H9" s="4">
        <f t="shared" si="0"/>
        <v>17</v>
      </c>
      <c r="I9" s="4">
        <v>200</v>
      </c>
      <c r="J9" s="3">
        <v>0.50390000000000001</v>
      </c>
    </row>
    <row r="10" spans="1:10" ht="19" x14ac:dyDescent="0.25">
      <c r="A10" s="13">
        <v>46164</v>
      </c>
      <c r="B10" s="1">
        <v>5.47</v>
      </c>
      <c r="C10" s="1">
        <v>5.3</v>
      </c>
      <c r="D10" s="1">
        <v>5.4</v>
      </c>
      <c r="E10" s="2">
        <v>1991</v>
      </c>
      <c r="F10" s="2">
        <v>15559</v>
      </c>
      <c r="G10" s="6">
        <v>46147</v>
      </c>
      <c r="H10" s="4">
        <f t="shared" si="0"/>
        <v>17</v>
      </c>
      <c r="I10" s="4">
        <v>205</v>
      </c>
      <c r="J10" s="3">
        <v>0.49430000000000002</v>
      </c>
    </row>
    <row r="11" spans="1:10" ht="19" x14ac:dyDescent="0.25">
      <c r="A11" s="13">
        <v>46164</v>
      </c>
      <c r="B11" s="1">
        <v>3.84</v>
      </c>
      <c r="C11" s="1">
        <v>3.85</v>
      </c>
      <c r="D11" s="1">
        <v>3.9</v>
      </c>
      <c r="E11" s="2">
        <v>1411</v>
      </c>
      <c r="F11" s="2">
        <v>11535</v>
      </c>
      <c r="G11" s="6">
        <v>46147</v>
      </c>
      <c r="H11" s="4">
        <f t="shared" si="0"/>
        <v>17</v>
      </c>
      <c r="I11" s="4">
        <v>210</v>
      </c>
      <c r="J11" s="3">
        <v>0.4945</v>
      </c>
    </row>
    <row r="12" spans="1:10" ht="19" x14ac:dyDescent="0.25">
      <c r="A12" s="13">
        <v>46164</v>
      </c>
      <c r="B12" s="1">
        <v>2.61</v>
      </c>
      <c r="C12" s="1">
        <v>2.58</v>
      </c>
      <c r="D12" s="1">
        <v>2.61</v>
      </c>
      <c r="E12" s="2">
        <v>1418</v>
      </c>
      <c r="F12" s="2">
        <v>62561</v>
      </c>
      <c r="G12" s="6">
        <v>46147</v>
      </c>
      <c r="H12" s="4">
        <f t="shared" si="0"/>
        <v>17</v>
      </c>
      <c r="I12" s="4">
        <v>215</v>
      </c>
      <c r="J12" s="3">
        <v>0.4839</v>
      </c>
    </row>
    <row r="13" spans="1:10" ht="19" x14ac:dyDescent="0.25">
      <c r="A13" s="13">
        <v>46164</v>
      </c>
      <c r="B13" s="1">
        <v>1.8</v>
      </c>
      <c r="C13" s="1">
        <v>1.73</v>
      </c>
      <c r="D13" s="1">
        <v>1.77</v>
      </c>
      <c r="E13" s="2">
        <v>1392</v>
      </c>
      <c r="F13" s="2">
        <v>15157</v>
      </c>
      <c r="G13" s="6">
        <v>46147</v>
      </c>
      <c r="H13" s="4">
        <f t="shared" si="0"/>
        <v>17</v>
      </c>
      <c r="I13" s="4">
        <v>220</v>
      </c>
      <c r="J13" s="3">
        <v>0.4829</v>
      </c>
    </row>
    <row r="14" spans="1:10" ht="19" x14ac:dyDescent="0.25">
      <c r="A14" s="13">
        <v>46164</v>
      </c>
      <c r="B14" s="1">
        <v>1.2</v>
      </c>
      <c r="C14" s="1">
        <v>1.19</v>
      </c>
      <c r="D14" s="1">
        <v>1.21</v>
      </c>
      <c r="E14" s="2">
        <v>2208</v>
      </c>
      <c r="F14" s="2">
        <v>8331</v>
      </c>
      <c r="G14" s="6">
        <v>46147</v>
      </c>
      <c r="H14" s="4">
        <f t="shared" si="0"/>
        <v>17</v>
      </c>
      <c r="I14" s="4">
        <v>225</v>
      </c>
      <c r="J14" s="3">
        <v>0.48680000000000001</v>
      </c>
    </row>
    <row r="15" spans="1:10" ht="19" x14ac:dyDescent="0.25">
      <c r="A15" s="13">
        <v>46164</v>
      </c>
      <c r="B15" s="1">
        <v>0.86</v>
      </c>
      <c r="C15" s="1">
        <v>0.81</v>
      </c>
      <c r="D15" s="1">
        <v>0.83</v>
      </c>
      <c r="E15" s="1">
        <v>420</v>
      </c>
      <c r="F15" s="2">
        <v>7891</v>
      </c>
      <c r="G15" s="6">
        <v>46147</v>
      </c>
      <c r="H15" s="4">
        <f t="shared" si="0"/>
        <v>17</v>
      </c>
      <c r="I15" s="4">
        <v>230</v>
      </c>
      <c r="J15" s="3">
        <v>0.4924</v>
      </c>
    </row>
    <row r="16" spans="1:10" ht="19" x14ac:dyDescent="0.25">
      <c r="A16" s="13">
        <v>46164</v>
      </c>
      <c r="B16" s="1">
        <v>0.61</v>
      </c>
      <c r="C16" s="1">
        <v>0.57999999999999996</v>
      </c>
      <c r="D16" s="1">
        <v>0.6</v>
      </c>
      <c r="E16" s="1">
        <v>283</v>
      </c>
      <c r="F16" s="2">
        <v>53923</v>
      </c>
      <c r="G16" s="6">
        <v>46147</v>
      </c>
      <c r="H16" s="4">
        <f t="shared" si="0"/>
        <v>17</v>
      </c>
      <c r="I16" s="4">
        <v>235</v>
      </c>
      <c r="J16" s="3">
        <v>0.50290000000000001</v>
      </c>
    </row>
    <row r="17" spans="1:10" ht="19" x14ac:dyDescent="0.25">
      <c r="A17" s="13">
        <v>46164</v>
      </c>
      <c r="B17" s="1">
        <v>0.46</v>
      </c>
      <c r="C17" s="1">
        <v>0.43</v>
      </c>
      <c r="D17" s="1">
        <v>0.44</v>
      </c>
      <c r="E17" s="1">
        <v>276</v>
      </c>
      <c r="F17" s="2">
        <v>6925</v>
      </c>
      <c r="G17" s="6">
        <v>46147</v>
      </c>
      <c r="H17" s="4">
        <f t="shared" si="0"/>
        <v>17</v>
      </c>
      <c r="I17" s="4">
        <v>240</v>
      </c>
      <c r="J17" s="3">
        <v>0.5161</v>
      </c>
    </row>
    <row r="18" spans="1:10" ht="19" x14ac:dyDescent="0.25">
      <c r="A18" s="13">
        <v>46164</v>
      </c>
      <c r="B18" s="1">
        <v>0.35</v>
      </c>
      <c r="C18" s="1">
        <v>0.33</v>
      </c>
      <c r="D18" s="1">
        <v>0.35</v>
      </c>
      <c r="E18" s="1">
        <v>99</v>
      </c>
      <c r="F18" s="2">
        <v>6184</v>
      </c>
      <c r="G18" s="6">
        <v>46147</v>
      </c>
      <c r="H18" s="4">
        <f t="shared" si="0"/>
        <v>17</v>
      </c>
      <c r="I18" s="4">
        <v>245</v>
      </c>
      <c r="J18" s="3">
        <v>0.53420000000000001</v>
      </c>
    </row>
    <row r="19" spans="1:10" ht="19" x14ac:dyDescent="0.25">
      <c r="A19" s="13">
        <v>46164</v>
      </c>
      <c r="B19" s="1">
        <v>0.27</v>
      </c>
      <c r="C19" s="1">
        <v>0.25</v>
      </c>
      <c r="D19" s="1">
        <v>0.27</v>
      </c>
      <c r="E19" s="1">
        <v>112</v>
      </c>
      <c r="F19" s="2">
        <v>7516</v>
      </c>
      <c r="G19" s="6">
        <v>46147</v>
      </c>
      <c r="H19" s="4">
        <f t="shared" si="0"/>
        <v>17</v>
      </c>
      <c r="I19" s="4">
        <v>250</v>
      </c>
      <c r="J19" s="3">
        <v>0.54879999999999995</v>
      </c>
    </row>
    <row r="20" spans="1:10" ht="19" x14ac:dyDescent="0.25">
      <c r="A20" s="13">
        <v>46164</v>
      </c>
      <c r="B20" s="1">
        <v>0.23</v>
      </c>
      <c r="C20" s="1">
        <v>0.2</v>
      </c>
      <c r="D20" s="1">
        <v>0.22</v>
      </c>
      <c r="E20" s="1">
        <v>17</v>
      </c>
      <c r="F20" s="2">
        <v>1568</v>
      </c>
      <c r="G20" s="6">
        <v>46147</v>
      </c>
      <c r="H20" s="4">
        <f t="shared" si="0"/>
        <v>17</v>
      </c>
      <c r="I20" s="4">
        <v>255</v>
      </c>
      <c r="J20" s="3">
        <v>0.56640000000000001</v>
      </c>
    </row>
    <row r="21" spans="1:10" ht="19" x14ac:dyDescent="0.25">
      <c r="A21" s="13">
        <v>46164</v>
      </c>
      <c r="B21" s="1">
        <v>0.16</v>
      </c>
      <c r="C21" s="1">
        <v>0.16</v>
      </c>
      <c r="D21" s="1">
        <v>0.17</v>
      </c>
      <c r="E21" s="1">
        <v>198</v>
      </c>
      <c r="F21" s="2">
        <v>2252</v>
      </c>
      <c r="G21" s="6">
        <v>46147</v>
      </c>
      <c r="H21" s="4">
        <f t="shared" si="0"/>
        <v>17</v>
      </c>
      <c r="I21" s="4">
        <v>260</v>
      </c>
      <c r="J21" s="3">
        <v>0.58109999999999995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D25-0714-7A4E-88CB-CB37EA3EBB44}">
  <dimension ref="A1:J17"/>
  <sheetViews>
    <sheetView zoomScale="125" workbookViewId="0">
      <selection activeCell="A2" sqref="A2:J17"/>
    </sheetView>
  </sheetViews>
  <sheetFormatPr baseColWidth="10" defaultRowHeight="16" x14ac:dyDescent="0.2"/>
  <cols>
    <col min="1" max="1" width="14.5" bestFit="1" customWidth="1"/>
    <col min="2" max="10" width="11" bestFit="1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7" t="s">
        <v>9</v>
      </c>
      <c r="I1" s="5" t="s">
        <v>0</v>
      </c>
      <c r="J1" s="5" t="s">
        <v>6</v>
      </c>
    </row>
    <row r="2" spans="1:10" ht="19" x14ac:dyDescent="0.25">
      <c r="A2" s="17">
        <v>46171</v>
      </c>
      <c r="B2" s="8">
        <v>32.450000000000003</v>
      </c>
      <c r="C2" s="8">
        <v>33.5</v>
      </c>
      <c r="D2" s="8">
        <v>34.65</v>
      </c>
      <c r="E2" s="8">
        <v>43</v>
      </c>
      <c r="F2" s="8">
        <v>648</v>
      </c>
      <c r="G2" s="6">
        <v>46147</v>
      </c>
      <c r="H2" s="8">
        <v>24</v>
      </c>
      <c r="I2" s="4">
        <v>165</v>
      </c>
      <c r="J2" s="9">
        <v>0.53910000000000002</v>
      </c>
    </row>
    <row r="3" spans="1:10" ht="19" x14ac:dyDescent="0.25">
      <c r="A3" s="17">
        <v>46171</v>
      </c>
      <c r="B3" s="8">
        <v>31.23</v>
      </c>
      <c r="C3" s="8">
        <v>29.2</v>
      </c>
      <c r="D3" s="8">
        <v>30</v>
      </c>
      <c r="E3" s="8">
        <v>10</v>
      </c>
      <c r="F3" s="8">
        <v>718</v>
      </c>
      <c r="G3" s="6">
        <v>46147</v>
      </c>
      <c r="H3" s="8">
        <v>24</v>
      </c>
      <c r="I3" s="4">
        <v>170</v>
      </c>
      <c r="J3" s="9">
        <v>0.52559999999999996</v>
      </c>
    </row>
    <row r="4" spans="1:10" ht="19" x14ac:dyDescent="0.25">
      <c r="A4" s="17">
        <v>46171</v>
      </c>
      <c r="B4" s="8">
        <v>22.1</v>
      </c>
      <c r="C4" s="8">
        <v>20.7</v>
      </c>
      <c r="D4" s="8">
        <v>21.35</v>
      </c>
      <c r="E4" s="8">
        <v>78</v>
      </c>
      <c r="F4" s="10">
        <v>11748</v>
      </c>
      <c r="G4" s="6">
        <v>46147</v>
      </c>
      <c r="H4" s="8">
        <v>24</v>
      </c>
      <c r="I4" s="4">
        <v>180</v>
      </c>
      <c r="J4" s="9">
        <v>0.50529999999999997</v>
      </c>
    </row>
    <row r="5" spans="1:10" ht="19" x14ac:dyDescent="0.25">
      <c r="A5" s="17">
        <v>46171</v>
      </c>
      <c r="B5" s="8">
        <v>17.75</v>
      </c>
      <c r="C5" s="8">
        <v>17</v>
      </c>
      <c r="D5" s="8">
        <v>17.600000000000001</v>
      </c>
      <c r="E5" s="8">
        <v>159</v>
      </c>
      <c r="F5" s="10">
        <v>1324</v>
      </c>
      <c r="G5" s="6">
        <v>46147</v>
      </c>
      <c r="H5" s="8">
        <v>24</v>
      </c>
      <c r="I5" s="4">
        <v>185</v>
      </c>
      <c r="J5" s="9">
        <v>0.49299999999999999</v>
      </c>
    </row>
    <row r="6" spans="1:10" ht="19" x14ac:dyDescent="0.25">
      <c r="A6" s="17">
        <v>46171</v>
      </c>
      <c r="B6" s="8">
        <v>13.8</v>
      </c>
      <c r="C6" s="8">
        <v>13.7</v>
      </c>
      <c r="D6" s="8">
        <v>14</v>
      </c>
      <c r="E6" s="8">
        <v>80</v>
      </c>
      <c r="F6" s="10">
        <v>5836</v>
      </c>
      <c r="G6" s="6">
        <v>46147</v>
      </c>
      <c r="H6" s="8">
        <v>24</v>
      </c>
      <c r="I6" s="4">
        <v>190</v>
      </c>
      <c r="J6" s="9">
        <v>0.47170000000000001</v>
      </c>
    </row>
    <row r="7" spans="1:10" ht="19" x14ac:dyDescent="0.25">
      <c r="A7" s="17">
        <v>46171</v>
      </c>
      <c r="B7" s="8">
        <v>10.8</v>
      </c>
      <c r="C7" s="8">
        <v>10.7</v>
      </c>
      <c r="D7" s="8">
        <v>10.9</v>
      </c>
      <c r="E7" s="8">
        <v>138</v>
      </c>
      <c r="F7" s="10">
        <v>4948</v>
      </c>
      <c r="G7" s="6">
        <v>46147</v>
      </c>
      <c r="H7" s="8">
        <v>24</v>
      </c>
      <c r="I7" s="4">
        <v>195</v>
      </c>
      <c r="J7" s="9">
        <v>0.45789999999999997</v>
      </c>
    </row>
    <row r="8" spans="1:10" ht="19" x14ac:dyDescent="0.25">
      <c r="A8" s="17">
        <v>46171</v>
      </c>
      <c r="B8" s="8">
        <v>8.15</v>
      </c>
      <c r="C8" s="8">
        <v>8.15</v>
      </c>
      <c r="D8" s="8">
        <v>8.1999999999999993</v>
      </c>
      <c r="E8" s="10">
        <v>3254</v>
      </c>
      <c r="F8" s="10">
        <v>19996</v>
      </c>
      <c r="G8" s="6">
        <v>46147</v>
      </c>
      <c r="H8" s="8">
        <v>24</v>
      </c>
      <c r="I8" s="4">
        <v>200</v>
      </c>
      <c r="J8" s="9">
        <v>0.44409999999999999</v>
      </c>
    </row>
    <row r="9" spans="1:10" ht="19" x14ac:dyDescent="0.25">
      <c r="A9" s="17">
        <v>46171</v>
      </c>
      <c r="B9" s="8">
        <v>5.99</v>
      </c>
      <c r="C9" s="8">
        <v>5.9</v>
      </c>
      <c r="D9" s="8">
        <v>6.05</v>
      </c>
      <c r="E9" s="8">
        <v>585</v>
      </c>
      <c r="F9" s="10">
        <v>13313</v>
      </c>
      <c r="G9" s="6">
        <v>46147</v>
      </c>
      <c r="H9" s="8">
        <v>24</v>
      </c>
      <c r="I9" s="4">
        <v>205</v>
      </c>
      <c r="J9" s="9">
        <v>0.43630000000000002</v>
      </c>
    </row>
    <row r="10" spans="1:10" ht="19" x14ac:dyDescent="0.25">
      <c r="A10" s="17">
        <v>46171</v>
      </c>
      <c r="B10" s="8">
        <v>4.3899999999999997</v>
      </c>
      <c r="C10" s="8">
        <v>4.4000000000000004</v>
      </c>
      <c r="D10" s="8">
        <v>4.45</v>
      </c>
      <c r="E10" s="10">
        <v>2059</v>
      </c>
      <c r="F10" s="10">
        <v>14287</v>
      </c>
      <c r="G10" s="6">
        <v>46147</v>
      </c>
      <c r="H10" s="8">
        <v>24</v>
      </c>
      <c r="I10" s="4">
        <v>210</v>
      </c>
      <c r="J10" s="9">
        <v>0.436</v>
      </c>
    </row>
    <row r="11" spans="1:10" ht="19" x14ac:dyDescent="0.25">
      <c r="A11" s="17">
        <v>46171</v>
      </c>
      <c r="B11" s="8">
        <v>3.15</v>
      </c>
      <c r="C11" s="8">
        <v>3.1</v>
      </c>
      <c r="D11" s="8">
        <v>3.2</v>
      </c>
      <c r="E11" s="8">
        <v>536</v>
      </c>
      <c r="F11" s="10">
        <v>10286</v>
      </c>
      <c r="G11" s="6">
        <v>46147</v>
      </c>
      <c r="H11" s="8">
        <v>24</v>
      </c>
      <c r="I11" s="4">
        <v>215</v>
      </c>
      <c r="J11" s="9">
        <v>0.43540000000000001</v>
      </c>
    </row>
    <row r="12" spans="1:10" ht="19" x14ac:dyDescent="0.25">
      <c r="A12" s="17">
        <v>46171</v>
      </c>
      <c r="B12" s="8">
        <v>2.21</v>
      </c>
      <c r="C12" s="8">
        <v>2.19</v>
      </c>
      <c r="D12" s="8">
        <v>2.23</v>
      </c>
      <c r="E12" s="10">
        <v>1246</v>
      </c>
      <c r="F12" s="10">
        <v>13107</v>
      </c>
      <c r="G12" s="6">
        <v>46147</v>
      </c>
      <c r="H12" s="8">
        <v>24</v>
      </c>
      <c r="I12" s="4">
        <v>220</v>
      </c>
      <c r="J12" s="9">
        <v>0.43340000000000001</v>
      </c>
    </row>
    <row r="13" spans="1:10" ht="19" x14ac:dyDescent="0.25">
      <c r="A13" s="17">
        <v>46171</v>
      </c>
      <c r="B13" s="8">
        <v>1.57</v>
      </c>
      <c r="C13" s="8">
        <v>1.52</v>
      </c>
      <c r="D13" s="8">
        <v>1.57</v>
      </c>
      <c r="E13" s="8">
        <v>445</v>
      </c>
      <c r="F13" s="10">
        <v>34794</v>
      </c>
      <c r="G13" s="6">
        <v>46147</v>
      </c>
      <c r="H13" s="8">
        <v>24</v>
      </c>
      <c r="I13" s="4">
        <v>225</v>
      </c>
      <c r="J13" s="9">
        <v>0.436</v>
      </c>
    </row>
    <row r="14" spans="1:10" ht="19" x14ac:dyDescent="0.25">
      <c r="A14" s="17">
        <v>46171</v>
      </c>
      <c r="B14" s="8">
        <v>1.1000000000000001</v>
      </c>
      <c r="C14" s="8">
        <v>1.1000000000000001</v>
      </c>
      <c r="D14" s="8">
        <v>1.1200000000000001</v>
      </c>
      <c r="E14" s="8">
        <v>396</v>
      </c>
      <c r="F14" s="10">
        <v>10282</v>
      </c>
      <c r="G14" s="6">
        <v>46147</v>
      </c>
      <c r="H14" s="8">
        <v>24</v>
      </c>
      <c r="I14" s="4">
        <v>230</v>
      </c>
      <c r="J14" s="9">
        <v>0.44180000000000003</v>
      </c>
    </row>
    <row r="15" spans="1:10" ht="19" x14ac:dyDescent="0.25">
      <c r="A15" s="17">
        <v>46171</v>
      </c>
      <c r="B15" s="8">
        <v>0.81</v>
      </c>
      <c r="C15" s="8">
        <v>0.78</v>
      </c>
      <c r="D15" s="8">
        <v>0.82</v>
      </c>
      <c r="E15" s="8">
        <v>217</v>
      </c>
      <c r="F15" s="10">
        <v>13388</v>
      </c>
      <c r="G15" s="6">
        <v>46147</v>
      </c>
      <c r="H15" s="8">
        <v>24</v>
      </c>
      <c r="I15" s="4">
        <v>235</v>
      </c>
      <c r="J15" s="9">
        <v>0.45069999999999999</v>
      </c>
    </row>
    <row r="16" spans="1:10" ht="19" x14ac:dyDescent="0.25">
      <c r="A16" s="17">
        <v>46171</v>
      </c>
      <c r="B16" s="8">
        <v>0.61</v>
      </c>
      <c r="C16" s="8">
        <v>0.59</v>
      </c>
      <c r="D16" s="8">
        <v>0.6</v>
      </c>
      <c r="E16" s="10">
        <v>1530</v>
      </c>
      <c r="F16" s="10">
        <v>33722</v>
      </c>
      <c r="G16" s="6">
        <v>46147</v>
      </c>
      <c r="H16" s="8">
        <v>24</v>
      </c>
      <c r="I16" s="4">
        <v>240</v>
      </c>
      <c r="J16" s="9">
        <v>0.4592</v>
      </c>
    </row>
    <row r="17" spans="1:10" ht="19" x14ac:dyDescent="0.25">
      <c r="A17" s="17">
        <v>46171</v>
      </c>
      <c r="B17" s="8">
        <v>0.49</v>
      </c>
      <c r="C17" s="8">
        <v>0.44</v>
      </c>
      <c r="D17" s="8">
        <v>0.47</v>
      </c>
      <c r="E17" s="8">
        <v>238</v>
      </c>
      <c r="F17" s="10">
        <v>1433</v>
      </c>
      <c r="G17" s="6">
        <v>46147</v>
      </c>
      <c r="H17" s="8">
        <v>24</v>
      </c>
      <c r="I17" s="4">
        <v>245</v>
      </c>
      <c r="J17" s="9">
        <v>0.47339999999999999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62D0-8CDA-C34B-9681-A2307EFE0407}">
  <dimension ref="A1:J18"/>
  <sheetViews>
    <sheetView zoomScale="125" workbookViewId="0">
      <selection activeCell="A2" sqref="A2:J18"/>
    </sheetView>
  </sheetViews>
  <sheetFormatPr baseColWidth="10" defaultRowHeight="16" x14ac:dyDescent="0.2"/>
  <cols>
    <col min="1" max="1" width="15.83203125" bestFit="1" customWidth="1"/>
  </cols>
  <sheetData>
    <row r="1" spans="1:10" ht="19" x14ac:dyDescent="0.25">
      <c r="A1" s="4" t="s">
        <v>11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4" t="s">
        <v>9</v>
      </c>
      <c r="I1" s="5" t="s">
        <v>0</v>
      </c>
      <c r="J1" s="5" t="s">
        <v>6</v>
      </c>
    </row>
    <row r="2" spans="1:10" ht="19" x14ac:dyDescent="0.25">
      <c r="A2" s="13">
        <v>46178</v>
      </c>
      <c r="B2" s="1">
        <v>39.799999999999997</v>
      </c>
      <c r="C2" s="1">
        <v>38.5</v>
      </c>
      <c r="D2" s="1">
        <v>39.25</v>
      </c>
      <c r="E2" s="1">
        <v>18</v>
      </c>
      <c r="F2" s="2">
        <v>1024</v>
      </c>
      <c r="G2" s="6">
        <v>46147</v>
      </c>
      <c r="H2" s="4">
        <f>31</f>
        <v>31</v>
      </c>
      <c r="I2" s="4">
        <v>160</v>
      </c>
      <c r="J2" s="3">
        <v>0.52810000000000001</v>
      </c>
    </row>
    <row r="3" spans="1:10" ht="19" x14ac:dyDescent="0.25">
      <c r="A3" s="13">
        <v>46179</v>
      </c>
      <c r="B3" s="1">
        <v>30.5</v>
      </c>
      <c r="C3" s="1">
        <v>29.75</v>
      </c>
      <c r="D3" s="1">
        <v>30.45</v>
      </c>
      <c r="E3" s="1">
        <v>51</v>
      </c>
      <c r="F3" s="1">
        <v>142</v>
      </c>
      <c r="G3" s="6">
        <v>46147</v>
      </c>
      <c r="H3" s="4">
        <f>31</f>
        <v>31</v>
      </c>
      <c r="I3" s="4">
        <v>170</v>
      </c>
      <c r="J3" s="3">
        <v>0.51390000000000002</v>
      </c>
    </row>
    <row r="4" spans="1:10" ht="19" x14ac:dyDescent="0.25">
      <c r="A4" s="13">
        <v>46180</v>
      </c>
      <c r="B4" s="1">
        <v>22.34</v>
      </c>
      <c r="C4" s="1">
        <v>21.55</v>
      </c>
      <c r="D4" s="1">
        <v>22.15</v>
      </c>
      <c r="E4" s="1">
        <v>19</v>
      </c>
      <c r="F4" s="1">
        <v>349</v>
      </c>
      <c r="G4" s="6">
        <v>46147</v>
      </c>
      <c r="H4" s="4">
        <f>31</f>
        <v>31</v>
      </c>
      <c r="I4" s="4">
        <v>180</v>
      </c>
      <c r="J4" s="3">
        <v>0.49769999999999998</v>
      </c>
    </row>
    <row r="5" spans="1:10" ht="19" x14ac:dyDescent="0.25">
      <c r="A5" s="13">
        <v>46181</v>
      </c>
      <c r="B5" s="1">
        <v>14.91</v>
      </c>
      <c r="C5" s="1">
        <v>14.35</v>
      </c>
      <c r="D5" s="1">
        <v>14.85</v>
      </c>
      <c r="E5" s="1">
        <v>43</v>
      </c>
      <c r="F5" s="1">
        <v>786</v>
      </c>
      <c r="G5" s="6">
        <v>46147</v>
      </c>
      <c r="H5" s="4">
        <f>31</f>
        <v>31</v>
      </c>
      <c r="I5" s="4">
        <v>190</v>
      </c>
      <c r="J5" s="3">
        <v>0.45989999999999998</v>
      </c>
    </row>
    <row r="6" spans="1:10" ht="19" x14ac:dyDescent="0.25">
      <c r="A6" s="13">
        <v>46182</v>
      </c>
      <c r="B6" s="1">
        <v>11.6</v>
      </c>
      <c r="C6" s="1">
        <v>11.5</v>
      </c>
      <c r="D6" s="1">
        <v>11.7</v>
      </c>
      <c r="E6" s="1">
        <v>729</v>
      </c>
      <c r="F6" s="2">
        <v>3465</v>
      </c>
      <c r="G6" s="6">
        <v>46147</v>
      </c>
      <c r="H6" s="4">
        <f>31</f>
        <v>31</v>
      </c>
      <c r="I6" s="4">
        <v>195</v>
      </c>
      <c r="J6" s="3">
        <v>0.44290000000000002</v>
      </c>
    </row>
    <row r="7" spans="1:10" ht="19" x14ac:dyDescent="0.25">
      <c r="A7" s="13">
        <v>46183</v>
      </c>
      <c r="B7" s="1">
        <v>8.9499999999999993</v>
      </c>
      <c r="C7" s="1">
        <v>8.9499999999999993</v>
      </c>
      <c r="D7" s="1">
        <v>9.15</v>
      </c>
      <c r="E7" s="1">
        <v>981</v>
      </c>
      <c r="F7" s="2">
        <v>7426</v>
      </c>
      <c r="G7" s="6">
        <v>46147</v>
      </c>
      <c r="H7" s="4">
        <f>31</f>
        <v>31</v>
      </c>
      <c r="I7" s="4">
        <v>200</v>
      </c>
      <c r="J7" s="3">
        <v>0.436</v>
      </c>
    </row>
    <row r="8" spans="1:10" ht="19" x14ac:dyDescent="0.25">
      <c r="A8" s="13">
        <v>46184</v>
      </c>
      <c r="B8" s="1">
        <v>5.25</v>
      </c>
      <c r="C8" s="1">
        <v>5.15</v>
      </c>
      <c r="D8" s="1">
        <v>5.2</v>
      </c>
      <c r="E8" s="1">
        <v>594</v>
      </c>
      <c r="F8" s="2">
        <v>4902</v>
      </c>
      <c r="G8" s="6">
        <v>46147</v>
      </c>
      <c r="H8" s="4">
        <f>31</f>
        <v>31</v>
      </c>
      <c r="I8" s="4">
        <v>210</v>
      </c>
      <c r="J8" s="3">
        <v>0.42280000000000001</v>
      </c>
    </row>
    <row r="9" spans="1:10" ht="19" x14ac:dyDescent="0.25">
      <c r="A9" s="13">
        <v>46185</v>
      </c>
      <c r="B9" s="1">
        <v>3.81</v>
      </c>
      <c r="C9" s="1">
        <v>3.75</v>
      </c>
      <c r="D9" s="1">
        <v>3.85</v>
      </c>
      <c r="E9" s="1">
        <v>149</v>
      </c>
      <c r="F9" s="2">
        <v>2612</v>
      </c>
      <c r="G9" s="6">
        <v>46147</v>
      </c>
      <c r="H9" s="4">
        <f>31</f>
        <v>31</v>
      </c>
      <c r="I9" s="4">
        <v>215</v>
      </c>
      <c r="J9" s="3">
        <v>0.42080000000000001</v>
      </c>
    </row>
    <row r="10" spans="1:10" ht="19" x14ac:dyDescent="0.25">
      <c r="A10" s="13">
        <v>46186</v>
      </c>
      <c r="B10" s="1">
        <v>2.79</v>
      </c>
      <c r="C10" s="1">
        <v>2.75</v>
      </c>
      <c r="D10" s="1">
        <v>2.83</v>
      </c>
      <c r="E10" s="1">
        <v>746</v>
      </c>
      <c r="F10" s="2">
        <v>10234</v>
      </c>
      <c r="G10" s="6">
        <v>46147</v>
      </c>
      <c r="H10" s="4">
        <f>31</f>
        <v>31</v>
      </c>
      <c r="I10" s="4">
        <v>220</v>
      </c>
      <c r="J10" s="3">
        <v>0.42099999999999999</v>
      </c>
    </row>
    <row r="11" spans="1:10" ht="19" x14ac:dyDescent="0.25">
      <c r="A11" s="13">
        <v>46187</v>
      </c>
      <c r="B11" s="1">
        <v>2</v>
      </c>
      <c r="C11" s="1">
        <v>2.0099999999999998</v>
      </c>
      <c r="D11" s="1">
        <v>2.04</v>
      </c>
      <c r="E11" s="1">
        <v>138</v>
      </c>
      <c r="F11" s="2">
        <v>3435</v>
      </c>
      <c r="G11" s="6">
        <v>46147</v>
      </c>
      <c r="H11" s="4">
        <f>31</f>
        <v>31</v>
      </c>
      <c r="I11" s="4">
        <v>225</v>
      </c>
      <c r="J11" s="3">
        <v>0.42080000000000001</v>
      </c>
    </row>
    <row r="12" spans="1:10" ht="19" x14ac:dyDescent="0.25">
      <c r="A12" s="13">
        <v>46188</v>
      </c>
      <c r="B12" s="1">
        <v>1.55</v>
      </c>
      <c r="C12" s="1">
        <v>1.47</v>
      </c>
      <c r="D12" s="1">
        <v>1.52</v>
      </c>
      <c r="E12" s="1">
        <v>155</v>
      </c>
      <c r="F12" s="2">
        <v>7428</v>
      </c>
      <c r="G12" s="6">
        <v>46147</v>
      </c>
      <c r="H12" s="4">
        <f>31</f>
        <v>31</v>
      </c>
      <c r="I12" s="4">
        <v>230</v>
      </c>
      <c r="J12" s="3">
        <v>0.42649999999999999</v>
      </c>
    </row>
    <row r="13" spans="1:10" ht="19" x14ac:dyDescent="0.25">
      <c r="A13" s="13">
        <v>46189</v>
      </c>
      <c r="B13" s="1">
        <v>1.1200000000000001</v>
      </c>
      <c r="C13" s="1">
        <v>1.08</v>
      </c>
      <c r="D13" s="1">
        <v>1.1200000000000001</v>
      </c>
      <c r="E13" s="1">
        <v>38</v>
      </c>
      <c r="F13" s="2">
        <v>2197</v>
      </c>
      <c r="G13" s="6">
        <v>46147</v>
      </c>
      <c r="H13" s="4">
        <f>31</f>
        <v>31</v>
      </c>
      <c r="I13" s="4">
        <v>235</v>
      </c>
      <c r="J13" s="3">
        <v>0.43120000000000003</v>
      </c>
    </row>
    <row r="14" spans="1:10" ht="19" x14ac:dyDescent="0.25">
      <c r="A14" s="13">
        <v>46190</v>
      </c>
      <c r="B14" s="1">
        <v>0.83</v>
      </c>
      <c r="C14" s="1">
        <v>0.81</v>
      </c>
      <c r="D14" s="1">
        <v>0.86</v>
      </c>
      <c r="E14" s="1">
        <v>58</v>
      </c>
      <c r="F14" s="2">
        <v>3660</v>
      </c>
      <c r="G14" s="6">
        <v>46147</v>
      </c>
      <c r="H14" s="4">
        <f>31</f>
        <v>31</v>
      </c>
      <c r="I14" s="4">
        <v>240</v>
      </c>
      <c r="J14" s="3">
        <v>0.44040000000000001</v>
      </c>
    </row>
    <row r="15" spans="1:10" ht="19" x14ac:dyDescent="0.25">
      <c r="A15" s="13">
        <v>46191</v>
      </c>
      <c r="B15" s="1">
        <v>0.65</v>
      </c>
      <c r="C15" s="1">
        <v>0.61</v>
      </c>
      <c r="D15" s="1">
        <v>0.67</v>
      </c>
      <c r="E15" s="1">
        <v>105</v>
      </c>
      <c r="F15" s="1">
        <v>593</v>
      </c>
      <c r="G15" s="6">
        <v>46147</v>
      </c>
      <c r="H15" s="4">
        <f>31</f>
        <v>31</v>
      </c>
      <c r="I15" s="4">
        <v>245</v>
      </c>
      <c r="J15" s="3">
        <v>0.45019999999999999</v>
      </c>
    </row>
    <row r="16" spans="1:10" ht="19" x14ac:dyDescent="0.25">
      <c r="A16" s="13">
        <v>46192</v>
      </c>
      <c r="B16" s="1">
        <v>0.52</v>
      </c>
      <c r="C16" s="1">
        <v>0.49</v>
      </c>
      <c r="D16" s="1">
        <v>0.52</v>
      </c>
      <c r="E16" s="1">
        <v>59</v>
      </c>
      <c r="F16" s="2">
        <v>9002</v>
      </c>
      <c r="G16" s="6">
        <v>46147</v>
      </c>
      <c r="H16" s="4">
        <f>31</f>
        <v>31</v>
      </c>
      <c r="I16" s="4">
        <v>250</v>
      </c>
      <c r="J16" s="3">
        <v>0.4592</v>
      </c>
    </row>
    <row r="17" spans="1:10" ht="19" x14ac:dyDescent="0.25">
      <c r="A17" s="13">
        <v>46193</v>
      </c>
      <c r="B17" s="1">
        <v>0.47</v>
      </c>
      <c r="C17" s="1">
        <v>0.38</v>
      </c>
      <c r="D17" s="1">
        <v>0.42</v>
      </c>
      <c r="E17" s="1">
        <v>101</v>
      </c>
      <c r="F17" s="1">
        <v>702</v>
      </c>
      <c r="G17" s="6">
        <v>46147</v>
      </c>
      <c r="H17" s="4">
        <f>31</f>
        <v>31</v>
      </c>
      <c r="I17" s="4">
        <v>255</v>
      </c>
      <c r="J17" s="3">
        <v>0.47070000000000001</v>
      </c>
    </row>
    <row r="18" spans="1:10" ht="19" x14ac:dyDescent="0.25">
      <c r="A18" s="13">
        <v>46194</v>
      </c>
      <c r="B18" s="1">
        <v>0.27</v>
      </c>
      <c r="C18" s="1">
        <v>0.26</v>
      </c>
      <c r="D18" s="1">
        <v>0.28000000000000003</v>
      </c>
      <c r="E18" s="1">
        <v>86</v>
      </c>
      <c r="F18" s="2">
        <v>5213</v>
      </c>
      <c r="G18" s="6">
        <v>46147</v>
      </c>
      <c r="H18" s="4">
        <f>31</f>
        <v>31</v>
      </c>
      <c r="I18" s="4">
        <v>265</v>
      </c>
      <c r="J18" s="3">
        <v>0.49320000000000003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 May</vt:lpstr>
      <vt:lpstr>11 May</vt:lpstr>
      <vt:lpstr>13 May</vt:lpstr>
      <vt:lpstr>15 May</vt:lpstr>
      <vt:lpstr>22 May</vt:lpstr>
      <vt:lpstr>29 May</vt:lpstr>
      <vt:lpstr>5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TYLL Jürgens</dc:creator>
  <cp:lastModifiedBy>TYLL Jürgens</cp:lastModifiedBy>
  <dcterms:created xsi:type="dcterms:W3CDTF">2026-05-05T15:10:15Z</dcterms:created>
  <dcterms:modified xsi:type="dcterms:W3CDTF">2026-05-07T15:16:29Z</dcterms:modified>
</cp:coreProperties>
</file>